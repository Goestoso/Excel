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1.xml" ContentType="application/vnd.ms-excel.person+xml"/>
  <Override PartName="/xl/persons/person0.xml" ContentType="application/vnd.ms-excel.person+xml"/>
  <Override PartName="/xl/persons/person2.xml" ContentType="application/vnd.ms-excel.person+xml"/>
  <Override PartName="/xl/persons/person4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442c87961e0b24/Área de Trabalho/GABRIEL/Docs Gabi/Excel/Material - Alura/VBA/"/>
    </mc:Choice>
  </mc:AlternateContent>
  <xr:revisionPtr revIDLastSave="25" documentId="8_{983FB139-70BE-4774-9E87-54A3B5393910}" xr6:coauthVersionLast="47" xr6:coauthVersionMax="47" xr10:uidLastSave="{835D667A-31CE-449D-8197-7E66647F56BE}"/>
  <bookViews>
    <workbookView xWindow="-120" yWindow="-120" windowWidth="20730" windowHeight="1116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Valor por Veículo" sheetId="18" r:id="rId4"/>
    <sheet name="Base Filtrada" sheetId="17" r:id="rId5"/>
    <sheet name="Controle de Entregas" sheetId="3" state="hidden" r:id="rId6"/>
  </sheets>
  <functionGroups builtInGroupCount="19"/>
  <definedNames>
    <definedName name="_xlnm._FilterDatabase" localSheetId="4" hidden="1">'Base Filtrada'!$A$1:$M$2</definedName>
    <definedName name="_xlnm._FilterDatabase" localSheetId="5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_xlnm.Criteria" localSheetId="5">'Controle de Entregas'!$A$1:$M$2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4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/>
  <c r="AA4" i="15"/>
  <c r="A2" i="16"/>
  <c r="BB16" i="15"/>
  <c r="BB10" i="15"/>
  <c r="AS10" i="15"/>
  <c r="AS4" i="15"/>
  <c r="BB4" i="15"/>
  <c r="AA16" i="15"/>
  <c r="AS16" i="15" l="1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<sst xmlns="http://schemas.openxmlformats.org/spreadsheetml/2006/main" count="352" uniqueCount="61">
  <si>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</si>
  <si>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</si>
  <si>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</si>
  <si>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</si>
  <si>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</si>
  <si>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</si>
  <si>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</si>
  <si>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</si>
  <si>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</si>
  <si>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</si>
  <si>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</si>
  <si>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</si>
  <si>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</si>
  <si>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</si>
  <si>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</si>
  <si>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</si>
  <si>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</si>
  <si>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</si>
  <si>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</si>
  <si>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</si>
  <si>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</si>
  <si>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</si>
  <si>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</si>
  <si>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</si>
  <si>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</si>
  <si>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</si>
  <si>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</si>
  <si>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</si>
  <si>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</si>
  <si>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</si>
  <si>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</si>
  <si>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</si>
  <si>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</si>
  <si>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</si>
  <si>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</si>
  <si>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</si>
  <si>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</si>
  <si>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</si>
  <si>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</si>
  <si>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</si>
  <si>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</si>
  <si>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</si>
  <si>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</si>
  <si>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</si>
  <si>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</si>
  <si>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</si>
  <si>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</si>
  <si>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</si>
  <si>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</si>
  <si>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</si>
  <si>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</si>
  <si>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</si>
  <si>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</si>
  <si>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</si>
  <si>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</si>
  <si>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</si>
  <si>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</si>
  <si>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</si>
  <si>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sp</t>
  </si>
  <si>
    <t>utilitário pequeno</t>
  </si>
  <si>
    <t>*em aberto*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</si>
</sst>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5" borderId="1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5"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17/10/relationships/person" Target="persons/person1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17/10/relationships/person" Target="persons/person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17/10/relationships/person" Target="persons/pers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microsoft.com/office/2017/10/relationships/person" Target="persons/person2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Relationship Id="rId22" Type="http://schemas.microsoft.com/office/2017/10/relationships/person" Target="persons/pers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4E2-4FDC-B765-012CBD8B3D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792-40E8-9FA3-FE834E760EC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792-40E8-9FA3-FE834E760EC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B792-40E8-9FA3-FE834E760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6600"/>
    </a:solidFill>
    <a:ln w="9525" cap="flat" cmpd="sng" algn="ctr">
      <a:solidFill>
        <a:srgbClr val="006600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Transportes.xlsm]Valor por Veículo!Tabela dinâmica2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Caminhão Baú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5316.2790697674418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3-47C8-9F97-BED8437C91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59894816"/>
        <c:axId val="559908856"/>
      </c:barChart>
      <c:catAx>
        <c:axId val="559894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9908856"/>
        <c:crosses val="autoZero"/>
        <c:auto val="1"/>
        <c:lblAlgn val="ctr"/>
        <c:lblOffset val="100"/>
        <c:noMultiLvlLbl val="0"/>
      </c:catAx>
      <c:valAx>
        <c:axId val="55990885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5989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36</xdr:col>
      <xdr:colOff>613832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495300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18</xdr:col>
          <xdr:colOff>552450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95250</xdr:colOff>
          <xdr:row>0</xdr:row>
          <xdr:rowOff>76200</xdr:rowOff>
        </xdr:from>
        <xdr:to>
          <xdr:col>36</xdr:col>
          <xdr:colOff>571500</xdr:colOff>
          <xdr:row>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611717</xdr:colOff>
      <xdr:row>2</xdr:row>
      <xdr:rowOff>10582</xdr:rowOff>
    </xdr:from>
    <xdr:to>
      <xdr:col>25</xdr:col>
      <xdr:colOff>603250</xdr:colOff>
      <xdr:row>19</xdr:row>
      <xdr:rowOff>169333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390525</xdr:colOff>
          <xdr:row>0</xdr:row>
          <xdr:rowOff>57150</xdr:rowOff>
        </xdr:from>
        <xdr:to>
          <xdr:col>34</xdr:col>
          <xdr:colOff>561975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2</xdr:row>
          <xdr:rowOff>28575</xdr:rowOff>
        </xdr:from>
        <xdr:to>
          <xdr:col>2</xdr:col>
          <xdr:colOff>180975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2</xdr:row>
          <xdr:rowOff>19050</xdr:rowOff>
        </xdr:from>
        <xdr:to>
          <xdr:col>3</xdr:col>
          <xdr:colOff>1019175</xdr:colOff>
          <xdr:row>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</xdr:row>
          <xdr:rowOff>28575</xdr:rowOff>
        </xdr:from>
        <xdr:to>
          <xdr:col>4</xdr:col>
          <xdr:colOff>1095375</xdr:colOff>
          <xdr:row>3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" refreshedDate="45065.694040046299" createdVersion="8" refreshedVersion="8" minRefreshableVersion="3" recordCount="31" xr:uid="{598EA8D5-9983-40ED-AE26-E4692A76C7A7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9-06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632.5581395348838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390" maxValue="450"/>
    </cacheField>
    <cacheField name="Tipo de Veículo" numFmtId="0">
      <sharedItems containsBlank="1" count="4">
        <s v="Caminhão Baú"/>
        <m/>
        <s v="utilitário pequeno" u="1"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9-07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9-07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fieldPosition="0">
        <references count="1">
          <reference field="4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7" type="button" dataOnly="0" labelOnly="1" outline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7" type="button" dataOnly="0" labelOnly="1" outline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D55CD1-5062-4D30-B8B8-D79B4E3902F4}" name="Tabela dinâmica2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T1" sqref="T1:AJ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36" customHeight="1" thickBot="1" x14ac:dyDescent="0.45">
      <c r="A1" s="42" t="s">
        <v>53</v>
      </c>
      <c r="B1" s="48" t="s">
        <v>46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  <c r="S1" s="25" t="s">
        <v>54</v>
      </c>
      <c r="T1" s="51" t="s">
        <v>46</v>
      </c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3"/>
      <c r="AK1" s="25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45">
      <c r="A2" s="43"/>
      <c r="B2" s="45" t="str">
        <f>IF(I16&lt;'Indicadores Base'!A2,"Média de peso abaixo do normal","")</f>
        <v/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5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25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25">
      <c r="A3" s="43"/>
      <c r="B3" s="32"/>
      <c r="C3" s="33"/>
      <c r="D3" s="33"/>
      <c r="E3" s="33"/>
      <c r="F3" s="33"/>
      <c r="G3" s="33"/>
      <c r="H3" s="34"/>
      <c r="I3" s="13" t="s">
        <v>45</v>
      </c>
      <c r="J3" s="32"/>
      <c r="K3" s="33"/>
      <c r="L3" s="33"/>
      <c r="M3" s="33"/>
      <c r="N3" s="33"/>
      <c r="O3" s="33"/>
      <c r="P3" s="33"/>
      <c r="Q3" s="34"/>
      <c r="R3" s="13" t="s">
        <v>49</v>
      </c>
      <c r="S3" s="25"/>
      <c r="T3" s="29"/>
      <c r="U3" s="30"/>
      <c r="V3" s="30"/>
      <c r="W3" s="30"/>
      <c r="X3" s="30"/>
      <c r="Y3" s="30"/>
      <c r="Z3" s="31"/>
      <c r="AA3" s="9" t="s">
        <v>45</v>
      </c>
      <c r="AB3" s="29"/>
      <c r="AC3" s="30"/>
      <c r="AD3" s="30"/>
      <c r="AE3" s="30"/>
      <c r="AF3" s="30"/>
      <c r="AG3" s="30"/>
      <c r="AH3" s="30"/>
      <c r="AI3" s="31"/>
      <c r="AJ3" s="9" t="s">
        <v>49</v>
      </c>
      <c r="AK3" s="25"/>
      <c r="AL3" s="29"/>
      <c r="AM3" s="30"/>
      <c r="AN3" s="30"/>
      <c r="AO3" s="30"/>
      <c r="AP3" s="30"/>
      <c r="AQ3" s="30"/>
      <c r="AR3" s="31"/>
      <c r="AS3" s="9" t="s">
        <v>45</v>
      </c>
      <c r="AT3" s="29"/>
      <c r="AU3" s="30"/>
      <c r="AV3" s="30"/>
      <c r="AW3" s="30"/>
      <c r="AX3" s="30"/>
      <c r="AY3" s="30"/>
      <c r="AZ3" s="30"/>
      <c r="BA3" s="31"/>
      <c r="BB3" s="9" t="s">
        <v>49</v>
      </c>
    </row>
    <row r="4" spans="1:54" x14ac:dyDescent="0.25">
      <c r="A4" s="43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25"/>
      <c r="T4" s="32"/>
      <c r="U4" s="33"/>
      <c r="V4" s="33"/>
      <c r="W4" s="33"/>
      <c r="X4" s="33"/>
      <c r="Y4" s="33"/>
      <c r="Z4" s="34"/>
      <c r="AA4" s="38">
        <f>SUM('Base Filtrada'!F6:F35)</f>
        <v>1270</v>
      </c>
      <c r="AB4" s="32"/>
      <c r="AC4" s="33"/>
      <c r="AD4" s="33"/>
      <c r="AE4" s="33"/>
      <c r="AF4" s="33"/>
      <c r="AG4" s="33"/>
      <c r="AH4" s="33"/>
      <c r="AI4" s="34"/>
      <c r="AJ4" s="40">
        <f>SUM('Base Filtrada'!D6:D35)</f>
        <v>5316.2790697674418</v>
      </c>
      <c r="AK4" s="25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25">
      <c r="A5" s="43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25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25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25">
      <c r="A6" s="43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25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25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25">
      <c r="A7" s="43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25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25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.75" thickBot="1" x14ac:dyDescent="0.3">
      <c r="A8" s="43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25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25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25">
      <c r="A9" s="43"/>
      <c r="B9" s="32"/>
      <c r="C9" s="33"/>
      <c r="D9" s="33"/>
      <c r="E9" s="33"/>
      <c r="F9" s="33"/>
      <c r="G9" s="33"/>
      <c r="H9" s="34"/>
      <c r="I9" s="9" t="s">
        <v>47</v>
      </c>
      <c r="J9" s="32"/>
      <c r="K9" s="33"/>
      <c r="L9" s="33"/>
      <c r="M9" s="33"/>
      <c r="N9" s="33"/>
      <c r="O9" s="33"/>
      <c r="P9" s="33"/>
      <c r="Q9" s="34"/>
      <c r="R9" s="9" t="s">
        <v>50</v>
      </c>
      <c r="S9" s="25"/>
      <c r="T9" s="32"/>
      <c r="U9" s="33"/>
      <c r="V9" s="33"/>
      <c r="W9" s="33"/>
      <c r="X9" s="33"/>
      <c r="Y9" s="33"/>
      <c r="Z9" s="34"/>
      <c r="AA9" s="9" t="s">
        <v>47</v>
      </c>
      <c r="AB9" s="32"/>
      <c r="AC9" s="33"/>
      <c r="AD9" s="33"/>
      <c r="AE9" s="33"/>
      <c r="AF9" s="33"/>
      <c r="AG9" s="33"/>
      <c r="AH9" s="33"/>
      <c r="AI9" s="34"/>
      <c r="AJ9" s="9" t="s">
        <v>50</v>
      </c>
      <c r="AK9" s="25"/>
      <c r="AL9" s="32"/>
      <c r="AM9" s="33"/>
      <c r="AN9" s="33"/>
      <c r="AO9" s="33"/>
      <c r="AP9" s="33"/>
      <c r="AQ9" s="33"/>
      <c r="AR9" s="34"/>
      <c r="AS9" s="9" t="s">
        <v>47</v>
      </c>
      <c r="AT9" s="32"/>
      <c r="AU9" s="33"/>
      <c r="AV9" s="33"/>
      <c r="AW9" s="33"/>
      <c r="AX9" s="33"/>
      <c r="AY9" s="33"/>
      <c r="AZ9" s="33"/>
      <c r="BA9" s="34"/>
      <c r="BB9" s="9" t="s">
        <v>50</v>
      </c>
    </row>
    <row r="10" spans="1:54" x14ac:dyDescent="0.25">
      <c r="A10" s="43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25"/>
      <c r="T10" s="32"/>
      <c r="U10" s="33"/>
      <c r="V10" s="33"/>
      <c r="W10" s="33"/>
      <c r="X10" s="33"/>
      <c r="Y10" s="33"/>
      <c r="Z10" s="34"/>
      <c r="AA10" s="38">
        <f>COUNTA('Base Filtrada'!F6:F35)</f>
        <v>3</v>
      </c>
      <c r="AB10" s="32"/>
      <c r="AC10" s="33"/>
      <c r="AD10" s="33"/>
      <c r="AE10" s="33"/>
      <c r="AF10" s="33"/>
      <c r="AG10" s="33"/>
      <c r="AH10" s="33"/>
      <c r="AI10" s="34"/>
      <c r="AJ10" s="38">
        <f>COUNTIF('Base Filtrada'!J6:J35, "Em Aberto - Atrasada")</f>
        <v>1</v>
      </c>
      <c r="AK10" s="25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25">
      <c r="A11" s="43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25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25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25">
      <c r="A12" s="43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25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25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25">
      <c r="A13" s="43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25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25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.75" thickBot="1" x14ac:dyDescent="0.3">
      <c r="A14" s="43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25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25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25">
      <c r="A15" s="43"/>
      <c r="B15" s="32"/>
      <c r="C15" s="33"/>
      <c r="D15" s="33"/>
      <c r="E15" s="33"/>
      <c r="F15" s="33"/>
      <c r="G15" s="33"/>
      <c r="H15" s="34"/>
      <c r="I15" s="9" t="s">
        <v>48</v>
      </c>
      <c r="J15" s="32"/>
      <c r="K15" s="33"/>
      <c r="L15" s="33"/>
      <c r="M15" s="33"/>
      <c r="N15" s="33"/>
      <c r="O15" s="33"/>
      <c r="P15" s="33"/>
      <c r="Q15" s="34"/>
      <c r="R15" s="9" t="s">
        <v>51</v>
      </c>
      <c r="S15" s="25"/>
      <c r="T15" s="32"/>
      <c r="U15" s="33"/>
      <c r="V15" s="33"/>
      <c r="W15" s="33"/>
      <c r="X15" s="33"/>
      <c r="Y15" s="33"/>
      <c r="Z15" s="34"/>
      <c r="AA15" s="9" t="s">
        <v>48</v>
      </c>
      <c r="AB15" s="32"/>
      <c r="AC15" s="33"/>
      <c r="AD15" s="33"/>
      <c r="AE15" s="33"/>
      <c r="AF15" s="33"/>
      <c r="AG15" s="33"/>
      <c r="AH15" s="33"/>
      <c r="AI15" s="34"/>
      <c r="AJ15" s="9" t="s">
        <v>51</v>
      </c>
      <c r="AK15" s="25"/>
      <c r="AL15" s="32"/>
      <c r="AM15" s="33"/>
      <c r="AN15" s="33"/>
      <c r="AO15" s="33"/>
      <c r="AP15" s="33"/>
      <c r="AQ15" s="33"/>
      <c r="AR15" s="34"/>
      <c r="AS15" s="9" t="s">
        <v>48</v>
      </c>
      <c r="AT15" s="32"/>
      <c r="AU15" s="33"/>
      <c r="AV15" s="33"/>
      <c r="AW15" s="33"/>
      <c r="AX15" s="33"/>
      <c r="AY15" s="33"/>
      <c r="AZ15" s="33"/>
      <c r="BA15" s="34"/>
      <c r="BB15" s="9" t="s">
        <v>51</v>
      </c>
    </row>
    <row r="16" spans="1:54" ht="15" customHeight="1" x14ac:dyDescent="0.25">
      <c r="A16" s="43"/>
      <c r="B16" s="32"/>
      <c r="C16" s="33"/>
      <c r="D16" s="33"/>
      <c r="E16" s="33"/>
      <c r="F16" s="33"/>
      <c r="G16" s="33"/>
      <c r="H16" s="34"/>
      <c r="I16" s="38">
        <f>I4/I10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25"/>
      <c r="T16" s="32"/>
      <c r="U16" s="33"/>
      <c r="V16" s="33"/>
      <c r="W16" s="33"/>
      <c r="X16" s="33"/>
      <c r="Y16" s="33"/>
      <c r="Z16" s="34"/>
      <c r="AA16" s="38">
        <f>fnCalculaMediaPeso(AA4,AA10)</f>
        <v>423.33333333333331</v>
      </c>
      <c r="AB16" s="32"/>
      <c r="AC16" s="33"/>
      <c r="AD16" s="33"/>
      <c r="AE16" s="33"/>
      <c r="AF16" s="33"/>
      <c r="AG16" s="33"/>
      <c r="AH16" s="33"/>
      <c r="AI16" s="34"/>
      <c r="AJ16" s="38">
        <f>COUNTIF('Base Filtrada'!M6:M35, "Em aberto*")</f>
        <v>1</v>
      </c>
      <c r="AK16" s="25"/>
      <c r="AL16" s="32"/>
      <c r="AM16" s="33"/>
      <c r="AN16" s="33"/>
      <c r="AO16" s="33"/>
      <c r="AP16" s="33"/>
      <c r="AQ16" s="33"/>
      <c r="AR16" s="34"/>
      <c r="AS16" s="38">
        <f>AS4/AS10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25">
      <c r="A17" s="43"/>
      <c r="B17" s="32"/>
      <c r="C17" s="33"/>
      <c r="D17" s="33"/>
      <c r="E17" s="33"/>
      <c r="F17" s="33"/>
      <c r="G17" s="33"/>
      <c r="H17" s="34"/>
      <c r="I17" s="38"/>
      <c r="J17" s="32"/>
      <c r="K17" s="33"/>
      <c r="L17" s="33"/>
      <c r="M17" s="33"/>
      <c r="N17" s="33"/>
      <c r="O17" s="33"/>
      <c r="P17" s="33"/>
      <c r="Q17" s="34"/>
      <c r="R17" s="38"/>
      <c r="S17" s="25"/>
      <c r="T17" s="32"/>
      <c r="U17" s="33"/>
      <c r="V17" s="33"/>
      <c r="W17" s="33"/>
      <c r="X17" s="33"/>
      <c r="Y17" s="33"/>
      <c r="Z17" s="34"/>
      <c r="AA17" s="38"/>
      <c r="AB17" s="32"/>
      <c r="AC17" s="33"/>
      <c r="AD17" s="33"/>
      <c r="AE17" s="33"/>
      <c r="AF17" s="33"/>
      <c r="AG17" s="33"/>
      <c r="AH17" s="33"/>
      <c r="AI17" s="34"/>
      <c r="AJ17" s="38"/>
      <c r="AK17" s="25"/>
      <c r="AL17" s="32"/>
      <c r="AM17" s="33"/>
      <c r="AN17" s="33"/>
      <c r="AO17" s="33"/>
      <c r="AP17" s="33"/>
      <c r="AQ17" s="33"/>
      <c r="AR17" s="34"/>
      <c r="AS17" s="38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25">
      <c r="A18" s="43"/>
      <c r="B18" s="32"/>
      <c r="C18" s="33"/>
      <c r="D18" s="33"/>
      <c r="E18" s="33"/>
      <c r="F18" s="33"/>
      <c r="G18" s="33"/>
      <c r="H18" s="34"/>
      <c r="I18" s="38"/>
      <c r="J18" s="32"/>
      <c r="K18" s="33"/>
      <c r="L18" s="33"/>
      <c r="M18" s="33"/>
      <c r="N18" s="33"/>
      <c r="O18" s="33"/>
      <c r="P18" s="33"/>
      <c r="Q18" s="34"/>
      <c r="R18" s="38"/>
      <c r="S18" s="25"/>
      <c r="T18" s="32"/>
      <c r="U18" s="33"/>
      <c r="V18" s="33"/>
      <c r="W18" s="33"/>
      <c r="X18" s="33"/>
      <c r="Y18" s="33"/>
      <c r="Z18" s="34"/>
      <c r="AA18" s="38"/>
      <c r="AB18" s="32"/>
      <c r="AC18" s="33"/>
      <c r="AD18" s="33"/>
      <c r="AE18" s="33"/>
      <c r="AF18" s="33"/>
      <c r="AG18" s="33"/>
      <c r="AH18" s="33"/>
      <c r="AI18" s="34"/>
      <c r="AJ18" s="38"/>
      <c r="AK18" s="25"/>
      <c r="AL18" s="32"/>
      <c r="AM18" s="33"/>
      <c r="AN18" s="33"/>
      <c r="AO18" s="33"/>
      <c r="AP18" s="33"/>
      <c r="AQ18" s="33"/>
      <c r="AR18" s="34"/>
      <c r="AS18" s="38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25">
      <c r="A19" s="43"/>
      <c r="B19" s="32"/>
      <c r="C19" s="33"/>
      <c r="D19" s="33"/>
      <c r="E19" s="33"/>
      <c r="F19" s="33"/>
      <c r="G19" s="33"/>
      <c r="H19" s="34"/>
      <c r="I19" s="38"/>
      <c r="J19" s="32"/>
      <c r="K19" s="33"/>
      <c r="L19" s="33"/>
      <c r="M19" s="33"/>
      <c r="N19" s="33"/>
      <c r="O19" s="33"/>
      <c r="P19" s="33"/>
      <c r="Q19" s="34"/>
      <c r="R19" s="38"/>
      <c r="S19" s="25"/>
      <c r="T19" s="32"/>
      <c r="U19" s="33"/>
      <c r="V19" s="33"/>
      <c r="W19" s="33"/>
      <c r="X19" s="33"/>
      <c r="Y19" s="33"/>
      <c r="Z19" s="34"/>
      <c r="AA19" s="38"/>
      <c r="AB19" s="32"/>
      <c r="AC19" s="33"/>
      <c r="AD19" s="33"/>
      <c r="AE19" s="33"/>
      <c r="AF19" s="33"/>
      <c r="AG19" s="33"/>
      <c r="AH19" s="33"/>
      <c r="AI19" s="34"/>
      <c r="AJ19" s="38"/>
      <c r="AK19" s="25"/>
      <c r="AL19" s="32"/>
      <c r="AM19" s="33"/>
      <c r="AN19" s="33"/>
      <c r="AO19" s="33"/>
      <c r="AP19" s="33"/>
      <c r="AQ19" s="33"/>
      <c r="AR19" s="34"/>
      <c r="AS19" s="38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.75" thickBot="1" x14ac:dyDescent="0.3">
      <c r="A20" s="44"/>
      <c r="B20" s="35"/>
      <c r="C20" s="36"/>
      <c r="D20" s="36"/>
      <c r="E20" s="36"/>
      <c r="F20" s="36"/>
      <c r="G20" s="36"/>
      <c r="H20" s="37"/>
      <c r="I20" s="39"/>
      <c r="J20" s="35"/>
      <c r="K20" s="36"/>
      <c r="L20" s="36"/>
      <c r="M20" s="36"/>
      <c r="N20" s="36"/>
      <c r="O20" s="36"/>
      <c r="P20" s="36"/>
      <c r="Q20" s="37"/>
      <c r="R20" s="39"/>
      <c r="S20" s="25"/>
      <c r="T20" s="35"/>
      <c r="U20" s="36"/>
      <c r="V20" s="36"/>
      <c r="W20" s="36"/>
      <c r="X20" s="36"/>
      <c r="Y20" s="36"/>
      <c r="Z20" s="37"/>
      <c r="AA20" s="39"/>
      <c r="AB20" s="35"/>
      <c r="AC20" s="36"/>
      <c r="AD20" s="36"/>
      <c r="AE20" s="36"/>
      <c r="AF20" s="36"/>
      <c r="AG20" s="36"/>
      <c r="AH20" s="36"/>
      <c r="AI20" s="37"/>
      <c r="AJ20" s="39"/>
      <c r="AK20" s="25"/>
      <c r="AL20" s="35"/>
      <c r="AM20" s="36"/>
      <c r="AN20" s="36"/>
      <c r="AO20" s="36"/>
      <c r="AP20" s="36"/>
      <c r="AQ20" s="36"/>
      <c r="AR20" s="37"/>
      <c r="AS20" s="39"/>
      <c r="AT20" s="35"/>
      <c r="AU20" s="36"/>
      <c r="AV20" s="36"/>
      <c r="AW20" s="36"/>
      <c r="AX20" s="36"/>
      <c r="AY20" s="36"/>
      <c r="AZ20" s="36"/>
      <c r="BA20" s="37"/>
      <c r="BB20" s="39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B2:R2">
    <cfRule type="containsText" dxfId="34" priority="1" operator="containsText" text="Média">
      <formula>NOT(ISERROR(SEARCH("Média",B2)))</formula>
    </cfRule>
  </conditionalFormatting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495300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85725</xdr:colOff>
                    <xdr:row>0</xdr:row>
                    <xdr:rowOff>76200</xdr:rowOff>
                  </from>
                  <to>
                    <xdr:col>18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inel3">
                <anchor moveWithCells="1" sizeWithCells="1">
                  <from>
                    <xdr:col>36</xdr:col>
                    <xdr:colOff>95250</xdr:colOff>
                    <xdr:row>0</xdr:row>
                    <xdr:rowOff>76200</xdr:rowOff>
                  </from>
                  <to>
                    <xdr:col>36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bChamaForm">
                <anchor moveWithCells="1" sizeWithCells="1">
                  <from>
                    <xdr:col>32</xdr:col>
                    <xdr:colOff>390525</xdr:colOff>
                    <xdr:row>0</xdr:row>
                    <xdr:rowOff>57150</xdr:rowOff>
                  </from>
                  <to>
                    <xdr:col>34</xdr:col>
                    <xdr:colOff>561975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A23" sqref="A23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25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25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25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CA4A-8C93-4634-989D-AD5C79569756}">
  <sheetPr codeName="Planilha5"/>
  <dimension ref="A3:B6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22" t="s">
        <v>40</v>
      </c>
      <c r="B3" t="s">
        <v>41</v>
      </c>
    </row>
    <row r="4" spans="1:2" x14ac:dyDescent="0.25">
      <c r="A4" s="23" t="s">
        <v>36</v>
      </c>
      <c r="B4" s="24">
        <v>5316.2790697674418</v>
      </c>
    </row>
    <row r="5" spans="1:2" x14ac:dyDescent="0.25">
      <c r="A5" s="23" t="s">
        <v>57</v>
      </c>
      <c r="B5" s="24"/>
    </row>
    <row r="6" spans="1:2" x14ac:dyDescent="0.25">
      <c r="A6" s="23" t="s">
        <v>42</v>
      </c>
      <c r="B6" s="24">
        <v>5316.2790697674418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1951-071E-4219-809A-62BF5BD2AA35}">
  <sheetPr codeName="Planilha6"/>
  <dimension ref="A1:M35"/>
  <sheetViews>
    <sheetView workbookViewId="0">
      <selection activeCell="A2" sqref="A2:M2"/>
    </sheetView>
  </sheetViews>
  <sheetFormatPr defaultRowHeight="15" x14ac:dyDescent="0.25"/>
  <cols>
    <col min="1" max="1" width="7.425781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4.85546875" bestFit="1" customWidth="1"/>
    <col min="8" max="8" width="7.5703125" bestFit="1" customWidth="1"/>
    <col min="9" max="9" width="12.85546875" bestFit="1" customWidth="1"/>
    <col min="10" max="10" width="18" bestFit="1" customWidth="1"/>
    <col min="11" max="11" width="7.85546875" bestFit="1" customWidth="1"/>
    <col min="12" max="12" width="15.85546875" bestFit="1" customWidth="1"/>
    <col min="13" max="13" width="19.28515625" bestFit="1" customWidth="1"/>
  </cols>
  <sheetData>
    <row r="1" spans="1:13" x14ac:dyDescent="0.25">
      <c r="A1" s="14" t="s">
        <v>0</v>
      </c>
      <c r="B1" s="15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35.25" customHeight="1" thickBot="1" x14ac:dyDescent="0.3">
      <c r="A2" s="18"/>
      <c r="B2" s="19"/>
      <c r="C2" s="19"/>
      <c r="D2" s="19"/>
      <c r="E2" s="19"/>
      <c r="F2" s="19"/>
      <c r="G2" s="19" t="s">
        <v>36</v>
      </c>
      <c r="H2" s="19"/>
      <c r="I2" s="19"/>
      <c r="J2" s="19"/>
      <c r="K2" s="19"/>
      <c r="L2" s="19"/>
      <c r="M2" s="20"/>
    </row>
    <row r="3" spans="1:13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1:13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B9" s="5"/>
      <c r="D9" s="3"/>
      <c r="F9" s="4"/>
      <c r="H9" s="4"/>
      <c r="I9" s="5"/>
      <c r="J9" s="4"/>
      <c r="K9" s="4"/>
      <c r="L9" s="5"/>
      <c r="M9" s="4"/>
    </row>
    <row r="10" spans="1:13" x14ac:dyDescent="0.25">
      <c r="B10" s="5"/>
      <c r="D10" s="3"/>
      <c r="F10" s="4"/>
      <c r="H10" s="4"/>
      <c r="I10" s="5"/>
      <c r="J10" s="4"/>
      <c r="K10" s="4"/>
      <c r="L10" s="5"/>
      <c r="M10" s="4"/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323850</xdr:colOff>
                    <xdr:row>2</xdr:row>
                    <xdr:rowOff>28575</xdr:rowOff>
                  </from>
                  <to>
                    <xdr:col>2</xdr:col>
                    <xdr:colOff>180975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2</xdr:col>
                    <xdr:colOff>790575</xdr:colOff>
                    <xdr:row>2</xdr:row>
                    <xdr:rowOff>19050</xdr:rowOff>
                  </from>
                  <to>
                    <xdr:col>3</xdr:col>
                    <xdr:colOff>1019175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4</xdr:col>
                    <xdr:colOff>133350</xdr:colOff>
                    <xdr:row>2</xdr:row>
                    <xdr:rowOff>28575</xdr:rowOff>
                  </from>
                  <to>
                    <xdr:col>4</xdr:col>
                    <xdr:colOff>1095375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59</v>
      </c>
      <c r="H2" s="4" t="s">
        <v>58</v>
      </c>
      <c r="I2" s="5">
        <v>43529</v>
      </c>
      <c r="J2" s="4" t="s">
        <v>60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Valor por Veículo</vt:lpstr>
      <vt:lpstr>Base Filtrada</vt:lpstr>
      <vt:lpstr>Controle de Entregas</vt:lpstr>
      <vt:lpstr>'Base Filtrada'!Area_de_extracao</vt:lpstr>
      <vt:lpstr>BaseFiltrada</vt:lpstr>
      <vt:lpstr>'Base Filtrada'!Criterios</vt:lpstr>
      <vt:lpstr>'Controle de Entregas'!Criterios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Jane</cp:lastModifiedBy>
  <dcterms:created xsi:type="dcterms:W3CDTF">2020-01-28T18:38:11Z</dcterms:created>
  <dcterms:modified xsi:type="dcterms:W3CDTF">2023-05-19T21:04:58Z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