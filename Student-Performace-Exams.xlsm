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slicers/slicer1.xml" ContentType="application/vnd.ms-excel.slicer+xml"/>
  <Override PartName="/xl/drawings/drawing2.xml" ContentType="application/vnd.openxmlformats-officedocument.drawing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slicers/slicer2.xml" ContentType="application/vnd.ms-excel.slicer+xml"/>
  <Override PartName="/xl/drawings/drawing4.xml" ContentType="application/vnd.openxmlformats-officedocument.drawing+xml"/>
  <Override PartName="/xl/ctrlProps/ctrlProp11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drawings/drawing6.xml" ContentType="application/vnd.openxmlformats-officedocument.drawing+xml"/>
  <Override PartName="/xl/ctrlProps/ctrlProp22.xml" ContentType="application/vnd.ms-excel.controlproperties+xml"/>
  <Override PartName="/xl/drawings/drawing7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fatecspgov-my.sharepoint.com/personal/gabriel_castro21_fatec_sp_gov_br/Documents/Documents/Excel/VBA/"/>
    </mc:Choice>
  </mc:AlternateContent>
  <xr:revisionPtr revIDLastSave="2237" documentId="8_{D77532D7-C277-4C51-8485-15B40002B867}" xr6:coauthVersionLast="47" xr6:coauthVersionMax="47" xr10:uidLastSave="{0209798E-61C5-4ECB-B5F5-337850561567}"/>
  <bookViews>
    <workbookView xWindow="-120" yWindow="-120" windowWidth="24240" windowHeight="13020" firstSheet="1" activeTab="5" xr2:uid="{00000000-000D-0000-FFFF-FFFF00000000}"/>
  </bookViews>
  <sheets>
    <sheet name="Médias" sheetId="6" r:id="rId1"/>
    <sheet name="Dashboard Médias" sheetId="19" r:id="rId2"/>
    <sheet name="Proporção" sheetId="22" r:id="rId3"/>
    <sheet name="Dashboard Proporção" sheetId="23" r:id="rId4"/>
    <sheet name="Exams" sheetId="1" state="hidden" r:id="rId5"/>
    <sheet name="Filtragem" sheetId="24" r:id="rId6"/>
    <sheet name="Tabela Filtrada" sheetId="25" r:id="rId7"/>
    <sheet name="Dashboard Filtrado" sheetId="27" r:id="rId8"/>
  </sheets>
  <functionGroups builtInGroupCount="19"/>
  <definedNames>
    <definedName name="_xlnm._FilterDatabase" localSheetId="4" hidden="1">Exams!$A$1:$I$1001</definedName>
    <definedName name="_xlnm._FilterDatabase" localSheetId="5" hidden="1">Filtragem!$A$5:$I$1005</definedName>
    <definedName name="_xlnm.Extract" localSheetId="5">Filtragem!$A$5:$I$5</definedName>
    <definedName name="_xlnm.Criteria" localSheetId="5">Filtragem!$A$1:$I$2</definedName>
    <definedName name="Cursinho">Exams!$F$2:$F$1001</definedName>
    <definedName name="Exam">Exams!$A$1:$I$1001</definedName>
    <definedName name="Gênero">Exams!$A$2:$A$1001</definedName>
    <definedName name="PontuaçãoEscrita">Exams!$I$2:$I$1001</definedName>
    <definedName name="PontuaçãoLeitura">Exams!$H$2:$H$1001</definedName>
    <definedName name="PontuaçãoMatemática">Exams!$G$2:$G$1001</definedName>
    <definedName name="SegmentaçãodeDados_Curso_de_preparação_para_o_teste">#N/A</definedName>
    <definedName name="SegmentaçãodeDados_Lanche1">#N/A</definedName>
  </definedNames>
  <calcPr calcId="191029"/>
  <pivotCaches>
    <pivotCache cacheId="0" r:id="rId9"/>
    <pivotCache cacheId="1" r:id="rId10"/>
  </pivotCaches>
  <extLst>
    <ext xmlns:x14="http://schemas.microsoft.com/office/spreadsheetml/2009/9/main" uri="{BBE1A952-AA13-448e-AADC-164F8A28A991}">
      <x14:slicerCaches>
        <x14:slicerCache r:id="rId11"/>
        <x14:slicerCache r:id="rId12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3" i="24" l="1"/>
  <c r="B19" i="27"/>
  <c r="Y4" i="19"/>
  <c r="R22" i="23"/>
  <c r="K22" i="23"/>
  <c r="M22" i="23"/>
  <c r="I22" i="23"/>
  <c r="H22" i="19"/>
  <c r="Y22" i="19"/>
  <c r="Y16" i="19"/>
  <c r="AP16" i="19"/>
  <c r="AP22" i="19"/>
  <c r="H16" i="19"/>
  <c r="H4" i="19"/>
  <c r="AP4" i="19"/>
  <c r="D1001" i="1"/>
  <c r="D1000" i="1"/>
  <c r="D999" i="1"/>
  <c r="D998" i="1"/>
  <c r="D997" i="1"/>
  <c r="D996" i="1"/>
  <c r="D995" i="1"/>
  <c r="D994" i="1"/>
  <c r="D993" i="1"/>
  <c r="D992" i="1"/>
  <c r="D991" i="1"/>
  <c r="D990" i="1"/>
  <c r="D989" i="1"/>
  <c r="D988" i="1"/>
  <c r="D987" i="1"/>
  <c r="D986" i="1"/>
  <c r="D985" i="1"/>
  <c r="D984" i="1"/>
  <c r="D983" i="1"/>
  <c r="D982" i="1"/>
  <c r="D981" i="1"/>
  <c r="D980" i="1"/>
  <c r="D979" i="1"/>
  <c r="D978" i="1"/>
  <c r="D977" i="1"/>
  <c r="D976" i="1"/>
  <c r="D975" i="1"/>
  <c r="D974" i="1"/>
  <c r="D973" i="1"/>
  <c r="D972" i="1"/>
  <c r="D971" i="1"/>
  <c r="D970" i="1"/>
  <c r="D969" i="1"/>
  <c r="D968" i="1"/>
  <c r="D967" i="1"/>
  <c r="D966" i="1"/>
  <c r="D965" i="1"/>
  <c r="D964" i="1"/>
  <c r="D963" i="1"/>
  <c r="D962" i="1"/>
  <c r="D961" i="1"/>
  <c r="D960" i="1"/>
  <c r="D959" i="1"/>
  <c r="D958" i="1"/>
  <c r="D957" i="1"/>
  <c r="D956" i="1"/>
  <c r="D955" i="1"/>
  <c r="D954" i="1"/>
  <c r="D953" i="1"/>
  <c r="D952" i="1"/>
  <c r="D951" i="1"/>
  <c r="D950" i="1"/>
  <c r="D949" i="1"/>
  <c r="D948" i="1"/>
  <c r="D947" i="1"/>
  <c r="D946" i="1"/>
  <c r="D945" i="1"/>
  <c r="D944" i="1"/>
  <c r="D943" i="1"/>
  <c r="D942" i="1"/>
  <c r="D941" i="1"/>
  <c r="D940" i="1"/>
  <c r="D939" i="1"/>
  <c r="D938" i="1"/>
  <c r="D937" i="1"/>
  <c r="D936" i="1"/>
  <c r="D935" i="1"/>
  <c r="D934" i="1"/>
  <c r="D933" i="1"/>
  <c r="D932" i="1"/>
  <c r="D931" i="1"/>
  <c r="D930" i="1"/>
  <c r="D929" i="1"/>
  <c r="D928" i="1"/>
  <c r="D927" i="1"/>
  <c r="D926" i="1"/>
  <c r="D925" i="1"/>
  <c r="D924" i="1"/>
  <c r="D923" i="1"/>
  <c r="D922" i="1"/>
  <c r="D921" i="1"/>
  <c r="D920" i="1"/>
  <c r="D919" i="1"/>
  <c r="D918" i="1"/>
  <c r="D917" i="1"/>
  <c r="D916" i="1"/>
  <c r="D915" i="1"/>
  <c r="D914" i="1"/>
  <c r="D913" i="1"/>
  <c r="D912" i="1"/>
  <c r="D911" i="1"/>
  <c r="D910" i="1"/>
  <c r="D909" i="1"/>
  <c r="D908" i="1"/>
  <c r="D907" i="1"/>
  <c r="D906" i="1"/>
  <c r="D905" i="1"/>
  <c r="D904" i="1"/>
  <c r="D903" i="1"/>
  <c r="D902" i="1"/>
  <c r="D901" i="1"/>
  <c r="D900" i="1"/>
  <c r="D899" i="1"/>
  <c r="D898" i="1"/>
  <c r="D897" i="1"/>
  <c r="D896" i="1"/>
  <c r="D895" i="1"/>
  <c r="D894" i="1"/>
  <c r="D893" i="1"/>
  <c r="D892" i="1"/>
  <c r="D891" i="1"/>
  <c r="D890" i="1"/>
  <c r="D889" i="1"/>
  <c r="D888" i="1"/>
  <c r="D887" i="1"/>
  <c r="D886" i="1"/>
  <c r="D885" i="1"/>
  <c r="D884" i="1"/>
  <c r="D883" i="1"/>
  <c r="D882" i="1"/>
  <c r="D881" i="1"/>
  <c r="D880" i="1"/>
  <c r="D879" i="1"/>
  <c r="D878" i="1"/>
  <c r="D877" i="1"/>
  <c r="D876" i="1"/>
  <c r="D875" i="1"/>
  <c r="D874" i="1"/>
  <c r="D873" i="1"/>
  <c r="D872" i="1"/>
  <c r="D871" i="1"/>
  <c r="D870" i="1"/>
  <c r="D869" i="1"/>
  <c r="D868" i="1"/>
  <c r="D867" i="1"/>
  <c r="D866" i="1"/>
  <c r="D865" i="1"/>
  <c r="D864" i="1"/>
  <c r="D863" i="1"/>
  <c r="D862" i="1"/>
  <c r="D861" i="1"/>
  <c r="D860" i="1"/>
  <c r="D859" i="1"/>
  <c r="D858" i="1"/>
  <c r="D857" i="1"/>
  <c r="D856" i="1"/>
  <c r="D855" i="1"/>
  <c r="D854" i="1"/>
  <c r="D853" i="1"/>
  <c r="D852" i="1"/>
  <c r="D851" i="1"/>
  <c r="D850" i="1"/>
  <c r="D849" i="1"/>
  <c r="D848" i="1"/>
  <c r="D847" i="1"/>
  <c r="D846" i="1"/>
  <c r="D845" i="1"/>
  <c r="D844" i="1"/>
  <c r="D843" i="1"/>
  <c r="D842" i="1"/>
  <c r="D841" i="1"/>
  <c r="D840" i="1"/>
  <c r="D839" i="1"/>
  <c r="D838" i="1"/>
  <c r="D837" i="1"/>
  <c r="D836" i="1"/>
  <c r="D835" i="1"/>
  <c r="D834" i="1"/>
  <c r="D833" i="1"/>
  <c r="D832" i="1"/>
  <c r="D831" i="1"/>
  <c r="D830" i="1"/>
  <c r="D829" i="1"/>
  <c r="D828" i="1"/>
  <c r="D827" i="1"/>
  <c r="D826" i="1"/>
  <c r="D825" i="1"/>
  <c r="D824" i="1"/>
  <c r="D823" i="1"/>
  <c r="D822" i="1"/>
  <c r="D821" i="1"/>
  <c r="D820" i="1"/>
  <c r="D819" i="1"/>
  <c r="D818" i="1"/>
  <c r="D817" i="1"/>
  <c r="D816" i="1"/>
  <c r="D815" i="1"/>
  <c r="D814" i="1"/>
  <c r="D813" i="1"/>
  <c r="D812" i="1"/>
  <c r="D811" i="1"/>
  <c r="D810" i="1"/>
  <c r="D809" i="1"/>
  <c r="D808" i="1"/>
  <c r="D807" i="1"/>
  <c r="D806" i="1"/>
  <c r="D805" i="1"/>
  <c r="D804" i="1"/>
  <c r="D803" i="1"/>
  <c r="D802" i="1"/>
  <c r="D801" i="1"/>
  <c r="D800" i="1"/>
  <c r="D799" i="1"/>
  <c r="D798" i="1"/>
  <c r="D797" i="1"/>
  <c r="D796" i="1"/>
  <c r="D795" i="1"/>
  <c r="D794" i="1"/>
  <c r="D793" i="1"/>
  <c r="D792" i="1"/>
  <c r="D791" i="1"/>
  <c r="D790" i="1"/>
  <c r="D789" i="1"/>
  <c r="D788" i="1"/>
  <c r="D787" i="1"/>
  <c r="D786" i="1"/>
  <c r="D785" i="1"/>
  <c r="D784" i="1"/>
  <c r="D783" i="1"/>
  <c r="D782" i="1"/>
  <c r="D781" i="1"/>
  <c r="D780" i="1"/>
  <c r="D779" i="1"/>
  <c r="D778" i="1"/>
  <c r="D777" i="1"/>
  <c r="D776" i="1"/>
  <c r="D775" i="1"/>
  <c r="D774" i="1"/>
  <c r="D773" i="1"/>
  <c r="D772" i="1"/>
  <c r="D771" i="1"/>
  <c r="D770" i="1"/>
  <c r="D769" i="1"/>
  <c r="D768" i="1"/>
  <c r="D767" i="1"/>
  <c r="D766" i="1"/>
  <c r="D765" i="1"/>
  <c r="D764" i="1"/>
  <c r="D763" i="1"/>
  <c r="D762" i="1"/>
  <c r="D761" i="1"/>
  <c r="D760" i="1"/>
  <c r="D759" i="1"/>
  <c r="D758" i="1"/>
  <c r="D757" i="1"/>
  <c r="D756" i="1"/>
  <c r="D755" i="1"/>
  <c r="D754" i="1"/>
  <c r="D753" i="1"/>
  <c r="D752" i="1"/>
  <c r="D751" i="1"/>
  <c r="D750" i="1"/>
  <c r="D749" i="1"/>
  <c r="D748" i="1"/>
  <c r="D747" i="1"/>
  <c r="D746" i="1"/>
  <c r="D745" i="1"/>
  <c r="D744" i="1"/>
  <c r="D743" i="1"/>
  <c r="D742" i="1"/>
  <c r="D741" i="1"/>
  <c r="D740" i="1"/>
  <c r="D739" i="1"/>
  <c r="D738" i="1"/>
  <c r="D737" i="1"/>
  <c r="D736" i="1"/>
  <c r="D735" i="1"/>
  <c r="D734" i="1"/>
  <c r="D733" i="1"/>
  <c r="D732" i="1"/>
  <c r="D731" i="1"/>
  <c r="D730" i="1"/>
  <c r="D729" i="1"/>
  <c r="D728" i="1"/>
  <c r="D727" i="1"/>
  <c r="D726" i="1"/>
  <c r="D725" i="1"/>
  <c r="D724" i="1"/>
  <c r="D723" i="1"/>
  <c r="D722" i="1"/>
  <c r="D721" i="1"/>
  <c r="D720" i="1"/>
  <c r="D719" i="1"/>
  <c r="D718" i="1"/>
  <c r="D717" i="1"/>
  <c r="D716" i="1"/>
  <c r="D715" i="1"/>
  <c r="D714" i="1"/>
  <c r="D713" i="1"/>
  <c r="D712" i="1"/>
  <c r="D711" i="1"/>
  <c r="D710" i="1"/>
  <c r="D709" i="1"/>
  <c r="D708" i="1"/>
  <c r="D707" i="1"/>
  <c r="D706" i="1"/>
  <c r="D705" i="1"/>
  <c r="D704" i="1"/>
  <c r="D703" i="1"/>
  <c r="D702" i="1"/>
  <c r="D701" i="1"/>
  <c r="D700" i="1"/>
  <c r="D699" i="1"/>
  <c r="D698" i="1"/>
  <c r="D697" i="1"/>
  <c r="D696" i="1"/>
  <c r="D695" i="1"/>
  <c r="D694" i="1"/>
  <c r="D693" i="1"/>
  <c r="D692" i="1"/>
  <c r="D691" i="1"/>
  <c r="D690" i="1"/>
  <c r="D689" i="1"/>
  <c r="D688" i="1"/>
  <c r="D687" i="1"/>
  <c r="D686" i="1"/>
  <c r="D685" i="1"/>
  <c r="D684" i="1"/>
  <c r="D683" i="1"/>
  <c r="D682" i="1"/>
  <c r="D681" i="1"/>
  <c r="D680" i="1"/>
  <c r="D679" i="1"/>
  <c r="D678" i="1"/>
  <c r="D677" i="1"/>
  <c r="D676" i="1"/>
  <c r="D675" i="1"/>
  <c r="D674" i="1"/>
  <c r="D673" i="1"/>
  <c r="D672" i="1"/>
  <c r="D671" i="1"/>
  <c r="D670" i="1"/>
  <c r="D669" i="1"/>
  <c r="D668" i="1"/>
  <c r="D667" i="1"/>
  <c r="D666" i="1"/>
  <c r="D665" i="1"/>
  <c r="D664" i="1"/>
  <c r="D663" i="1"/>
  <c r="D662" i="1"/>
  <c r="D661" i="1"/>
  <c r="D660" i="1"/>
  <c r="D659" i="1"/>
  <c r="D658" i="1"/>
  <c r="D657" i="1"/>
  <c r="D656" i="1"/>
  <c r="D655" i="1"/>
  <c r="D654" i="1"/>
  <c r="D653" i="1"/>
  <c r="D652" i="1"/>
  <c r="D651" i="1"/>
  <c r="D650" i="1"/>
  <c r="D649" i="1"/>
  <c r="D648" i="1"/>
  <c r="D647" i="1"/>
  <c r="D646" i="1"/>
  <c r="D645" i="1"/>
  <c r="D644" i="1"/>
  <c r="D643" i="1"/>
  <c r="D642" i="1"/>
  <c r="D641" i="1"/>
  <c r="D640" i="1"/>
  <c r="D639" i="1"/>
  <c r="D638" i="1"/>
  <c r="D637" i="1"/>
  <c r="D636" i="1"/>
  <c r="D635" i="1"/>
  <c r="D634" i="1"/>
  <c r="D633" i="1"/>
  <c r="D632" i="1"/>
  <c r="D631" i="1"/>
  <c r="D630" i="1"/>
  <c r="D629" i="1"/>
  <c r="D628" i="1"/>
  <c r="D627" i="1"/>
  <c r="D626" i="1"/>
  <c r="D625" i="1"/>
  <c r="D624" i="1"/>
  <c r="D623" i="1"/>
  <c r="D622" i="1"/>
  <c r="D621" i="1"/>
  <c r="D620" i="1"/>
  <c r="D619" i="1"/>
  <c r="D618" i="1"/>
  <c r="D617" i="1"/>
  <c r="D616" i="1"/>
  <c r="D615" i="1"/>
  <c r="D614" i="1"/>
  <c r="D613" i="1"/>
  <c r="D612" i="1"/>
  <c r="D611" i="1"/>
  <c r="D610" i="1"/>
  <c r="D609" i="1"/>
  <c r="D608" i="1"/>
  <c r="D607" i="1"/>
  <c r="D606" i="1"/>
  <c r="D605" i="1"/>
  <c r="D604" i="1"/>
  <c r="D603" i="1"/>
  <c r="D602" i="1"/>
  <c r="D601" i="1"/>
  <c r="D600" i="1"/>
  <c r="D599" i="1"/>
  <c r="D598" i="1"/>
  <c r="D597" i="1"/>
  <c r="D596" i="1"/>
  <c r="D595" i="1"/>
  <c r="D594" i="1"/>
  <c r="D593" i="1"/>
  <c r="D592" i="1"/>
  <c r="D591" i="1"/>
  <c r="D590" i="1"/>
  <c r="D589" i="1"/>
  <c r="D588" i="1"/>
  <c r="D587" i="1"/>
  <c r="D586" i="1"/>
  <c r="D585" i="1"/>
  <c r="D584" i="1"/>
  <c r="D583" i="1"/>
  <c r="D582" i="1"/>
  <c r="D581" i="1"/>
  <c r="D580" i="1"/>
  <c r="D579" i="1"/>
  <c r="D578" i="1"/>
  <c r="D577" i="1"/>
  <c r="D576" i="1"/>
  <c r="D575" i="1"/>
  <c r="D574" i="1"/>
  <c r="D573" i="1"/>
  <c r="D572" i="1"/>
  <c r="D571" i="1"/>
  <c r="D570" i="1"/>
  <c r="D569" i="1"/>
  <c r="D568" i="1"/>
  <c r="D567" i="1"/>
  <c r="D566" i="1"/>
  <c r="D565" i="1"/>
  <c r="D564" i="1"/>
  <c r="D563" i="1"/>
  <c r="D562" i="1"/>
  <c r="D561" i="1"/>
  <c r="D560" i="1"/>
  <c r="D559" i="1"/>
  <c r="D558" i="1"/>
  <c r="D557" i="1"/>
  <c r="D556" i="1"/>
  <c r="D555" i="1"/>
  <c r="D554" i="1"/>
  <c r="D553" i="1"/>
  <c r="D552" i="1"/>
  <c r="D551" i="1"/>
  <c r="D550" i="1"/>
  <c r="D549" i="1"/>
  <c r="D548" i="1"/>
  <c r="D547" i="1"/>
  <c r="D546" i="1"/>
  <c r="D545" i="1"/>
  <c r="D544" i="1"/>
  <c r="D543" i="1"/>
  <c r="D542" i="1"/>
  <c r="D541" i="1"/>
  <c r="D540" i="1"/>
  <c r="D539" i="1"/>
  <c r="D538" i="1"/>
  <c r="D537" i="1"/>
  <c r="D536" i="1"/>
  <c r="D535" i="1"/>
  <c r="D534" i="1"/>
  <c r="D533" i="1"/>
  <c r="D532" i="1"/>
  <c r="D531" i="1"/>
  <c r="D530" i="1"/>
  <c r="D529" i="1"/>
  <c r="D528" i="1"/>
  <c r="D527" i="1"/>
  <c r="D526" i="1"/>
  <c r="D525" i="1"/>
  <c r="D524" i="1"/>
  <c r="D523" i="1"/>
  <c r="D522" i="1"/>
  <c r="D521" i="1"/>
  <c r="D520" i="1"/>
  <c r="D519" i="1"/>
  <c r="D518" i="1"/>
  <c r="D517" i="1"/>
  <c r="D516" i="1"/>
  <c r="D515" i="1"/>
  <c r="D514" i="1"/>
  <c r="D513" i="1"/>
  <c r="D512" i="1"/>
  <c r="D511" i="1"/>
  <c r="D510" i="1"/>
  <c r="D509" i="1"/>
  <c r="D508" i="1"/>
  <c r="D507" i="1"/>
  <c r="D506" i="1"/>
  <c r="D505" i="1"/>
  <c r="D504" i="1"/>
  <c r="D503" i="1"/>
  <c r="D502" i="1"/>
  <c r="D501" i="1"/>
  <c r="D500" i="1"/>
  <c r="D499" i="1"/>
  <c r="D498" i="1"/>
  <c r="D497" i="1"/>
  <c r="D496" i="1"/>
  <c r="D495" i="1"/>
  <c r="D494" i="1"/>
  <c r="D493" i="1"/>
  <c r="D492" i="1"/>
  <c r="D491" i="1"/>
  <c r="D490" i="1"/>
  <c r="D489" i="1"/>
  <c r="D488" i="1"/>
  <c r="D487" i="1"/>
  <c r="D486" i="1"/>
  <c r="D485" i="1"/>
  <c r="D484" i="1"/>
  <c r="D483" i="1"/>
  <c r="D482" i="1"/>
  <c r="D481" i="1"/>
  <c r="D480" i="1"/>
  <c r="D479" i="1"/>
  <c r="D478" i="1"/>
  <c r="D477" i="1"/>
  <c r="D476" i="1"/>
  <c r="D475" i="1"/>
  <c r="D474" i="1"/>
  <c r="D473" i="1"/>
  <c r="D472" i="1"/>
  <c r="D471" i="1"/>
  <c r="D470" i="1"/>
  <c r="D469" i="1"/>
  <c r="D468" i="1"/>
  <c r="D467" i="1"/>
  <c r="D466" i="1"/>
  <c r="D465" i="1"/>
  <c r="D464" i="1"/>
  <c r="D463" i="1"/>
  <c r="D462" i="1"/>
  <c r="D461" i="1"/>
  <c r="D460" i="1"/>
  <c r="D459" i="1"/>
  <c r="D458" i="1"/>
  <c r="D457" i="1"/>
  <c r="D456" i="1"/>
  <c r="D455" i="1"/>
  <c r="D454" i="1"/>
  <c r="D453" i="1"/>
  <c r="D452" i="1"/>
  <c r="D451" i="1"/>
  <c r="D450" i="1"/>
  <c r="D449" i="1"/>
  <c r="D448" i="1"/>
  <c r="D447" i="1"/>
  <c r="D446" i="1"/>
  <c r="D445" i="1"/>
  <c r="D444" i="1"/>
  <c r="D443" i="1"/>
  <c r="D442" i="1"/>
  <c r="D441" i="1"/>
  <c r="D440" i="1"/>
  <c r="D439" i="1"/>
  <c r="D438" i="1"/>
  <c r="D437" i="1"/>
  <c r="D436" i="1"/>
  <c r="D435" i="1"/>
  <c r="D434" i="1"/>
  <c r="D433" i="1"/>
  <c r="D432" i="1"/>
  <c r="D431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12" i="1"/>
  <c r="D411" i="1"/>
  <c r="D410" i="1"/>
  <c r="D409" i="1"/>
  <c r="D408" i="1"/>
  <c r="D407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91" i="1"/>
  <c r="D390" i="1"/>
  <c r="D389" i="1"/>
  <c r="D388" i="1"/>
  <c r="D387" i="1"/>
  <c r="D386" i="1"/>
  <c r="D385" i="1"/>
  <c r="D384" i="1"/>
  <c r="D383" i="1"/>
  <c r="D382" i="1"/>
  <c r="D381" i="1"/>
  <c r="D380" i="1"/>
  <c r="D379" i="1"/>
  <c r="D378" i="1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D2" i="1"/>
  <c r="AP10" i="19"/>
  <c r="T22" i="23"/>
  <c r="F22" i="23"/>
  <c r="Y10" i="19"/>
  <c r="B22" i="23"/>
  <c r="H10" i="19"/>
  <c r="P22" i="23"/>
  <c r="K19" i="27"/>
  <c r="D19" i="27"/>
  <c r="L13" i="24"/>
  <c r="I19" i="27" l="1"/>
  <c r="M19" i="27"/>
  <c r="F19" i="27"/>
  <c r="D22" i="23"/>
  <c r="AJ2" i="19"/>
  <c r="S2" i="19"/>
  <c r="B2" i="19"/>
</calcChain>
</file>

<file path=xl/sharedStrings.xml><?xml version="1.0" encoding="utf-8"?>
<sst xmlns="http://schemas.openxmlformats.org/spreadsheetml/2006/main" count="10181" uniqueCount="76">
  <si>
    <t>Gênero</t>
  </si>
  <si>
    <t>Feminino</t>
  </si>
  <si>
    <t>Masculino</t>
  </si>
  <si>
    <t>Raça/Etinia</t>
  </si>
  <si>
    <t>Nível de educação dos pais</t>
  </si>
  <si>
    <t>Lanche</t>
  </si>
  <si>
    <t>ensino médio</t>
  </si>
  <si>
    <t>padrão</t>
  </si>
  <si>
    <t>Total Geral</t>
  </si>
  <si>
    <t>grupo A</t>
  </si>
  <si>
    <t>grupo B</t>
  </si>
  <si>
    <t>grupo C</t>
  </si>
  <si>
    <t>grupo D</t>
  </si>
  <si>
    <t>Curso de preparação para o teste</t>
  </si>
  <si>
    <t>nenhum</t>
  </si>
  <si>
    <t>concluído</t>
  </si>
  <si>
    <t>Pontuação matemática</t>
  </si>
  <si>
    <t>Pontuação de leitura</t>
  </si>
  <si>
    <t>Pontuação de escrita</t>
  </si>
  <si>
    <t>grupo E</t>
  </si>
  <si>
    <t>Média de Pontuação matemática</t>
  </si>
  <si>
    <t>Raça/Etnia</t>
  </si>
  <si>
    <t>A</t>
  </si>
  <si>
    <t>B</t>
  </si>
  <si>
    <t>D</t>
  </si>
  <si>
    <t>E</t>
  </si>
  <si>
    <t>C</t>
  </si>
  <si>
    <t>Contagem</t>
  </si>
  <si>
    <t>Média de Pontuação Matemática</t>
  </si>
  <si>
    <t>Média Geral</t>
  </si>
  <si>
    <t>MATEMÁTICA</t>
  </si>
  <si>
    <t>Média de Pontuação de leitura</t>
  </si>
  <si>
    <t>LEITURA</t>
  </si>
  <si>
    <t>Média de Pontuação Leitura</t>
  </si>
  <si>
    <t>Média de Pontuação de escrita</t>
  </si>
  <si>
    <t>ESCRITA</t>
  </si>
  <si>
    <t>Média de Pontuação Escrita</t>
  </si>
  <si>
    <t>Menor Nota</t>
  </si>
  <si>
    <t>Total Participantes</t>
  </si>
  <si>
    <t>Classificação</t>
  </si>
  <si>
    <t>Candidatos Aprovados</t>
  </si>
  <si>
    <t>Candidatos Reprovados</t>
  </si>
  <si>
    <t>graduação incompleta</t>
  </si>
  <si>
    <t>Nivel de educação dos pais</t>
  </si>
  <si>
    <t>Candidatos Masculinos</t>
  </si>
  <si>
    <t>Candidatos Femininos</t>
  </si>
  <si>
    <t>Total Candidatos</t>
  </si>
  <si>
    <t>Maior Grupo</t>
  </si>
  <si>
    <t>Menor Grupo</t>
  </si>
  <si>
    <t>Média por Grupo</t>
  </si>
  <si>
    <t>Proporção de candidatos por gênero</t>
  </si>
  <si>
    <t>Nível de Formação dos Pais</t>
  </si>
  <si>
    <t>grau de bacharelado</t>
  </si>
  <si>
    <t>ensino incompleto</t>
  </si>
  <si>
    <t>associado (supletivo)</t>
  </si>
  <si>
    <t xml:space="preserve"> Faculdade Concluída</t>
  </si>
  <si>
    <t>Ensino Incompleto</t>
  </si>
  <si>
    <t>Nível Mais Comum</t>
  </si>
  <si>
    <t>Menu dashboard</t>
  </si>
  <si>
    <t>grau de mestrado</t>
  </si>
  <si>
    <t>Quantidade</t>
  </si>
  <si>
    <t xml:space="preserve">Quantidade </t>
  </si>
  <si>
    <t>GÊNERO</t>
  </si>
  <si>
    <t>Curso Preparatório</t>
  </si>
  <si>
    <t>Total</t>
  </si>
  <si>
    <t>RAÇA/ETNIA</t>
  </si>
  <si>
    <t>Formação dos pais</t>
  </si>
  <si>
    <t>Maior Quantidade</t>
  </si>
  <si>
    <t>Menor Quantidade</t>
  </si>
  <si>
    <t>Tabelas Médias</t>
  </si>
  <si>
    <t>Tabela Proporção</t>
  </si>
  <si>
    <t>Base Filtrada</t>
  </si>
  <si>
    <t>Menu</t>
  </si>
  <si>
    <t>reduzido</t>
  </si>
  <si>
    <t>Proporção de candidatos por raça/etnia</t>
  </si>
  <si>
    <t xml:space="preserve">Proporção de candidatos por nível de educacação dos pais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</si>
</sst>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theme="9" tint="-0.24994659260841701"/>
      <name val="Calibri"/>
      <family val="2"/>
      <scheme val="minor"/>
    </font>
    <font>
      <sz val="1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36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0080"/>
      <name val="Calibri"/>
      <family val="2"/>
    </font>
    <font>
      <b/>
      <sz val="14"/>
      <color rgb="FF008000"/>
      <name val="Calibri"/>
      <family val="2"/>
    </font>
    <font>
      <b/>
      <sz val="14"/>
      <color rgb="FFFF00FF"/>
      <name val="Calibri"/>
      <family val="2"/>
    </font>
    <font>
      <b/>
      <sz val="20"/>
      <color rgb="FF000000"/>
      <name val="Calibri"/>
      <family val="2"/>
    </font>
    <font>
      <b/>
      <sz val="11"/>
      <name val="Calibri"/>
      <family val="2"/>
      <scheme val="minor"/>
    </font>
    <font>
      <sz val="36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2"/>
      <color theme="1" tint="0.499984740745262"/>
      <name val="Calibri"/>
      <family val="2"/>
      <scheme val="minor"/>
    </font>
    <font>
      <b/>
      <sz val="26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rgb="FF333399"/>
      <name val="Arial"/>
      <family val="2"/>
    </font>
    <font>
      <b/>
      <sz val="18"/>
      <color rgb="FFFF00FF"/>
      <name val="Arial"/>
      <family val="2"/>
    </font>
    <font>
      <b/>
      <sz val="18"/>
      <color rgb="FF00FF00"/>
      <name val="Arial"/>
      <family val="2"/>
    </font>
    <font>
      <sz val="26"/>
      <color rgb="FF000000"/>
      <name val="Calibri"/>
      <family val="2"/>
    </font>
    <font>
      <sz val="36"/>
      <name val="Calibri"/>
      <family val="2"/>
      <scheme val="minor"/>
    </font>
    <font>
      <b/>
      <sz val="16"/>
      <color rgb="FF800000"/>
      <name val="Arial"/>
      <family val="2"/>
    </font>
    <font>
      <b/>
      <sz val="16"/>
      <color rgb="FF9933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b/>
      <sz val="14"/>
      <color rgb="FF0070C0"/>
      <name val="Calibri"/>
      <family val="2"/>
      <scheme val="minor"/>
    </font>
    <font>
      <b/>
      <sz val="14"/>
      <color theme="9"/>
      <name val="Calibri"/>
      <family val="2"/>
      <scheme val="minor"/>
    </font>
    <font>
      <b/>
      <sz val="14"/>
      <color rgb="FFFFC00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14"/>
      <color rgb="FF00206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name val="Arial"/>
      <family val="2"/>
    </font>
    <font>
      <b/>
      <sz val="10"/>
      <color rgb="FF800000"/>
      <name val="Arial"/>
      <family val="2"/>
    </font>
    <font>
      <b/>
      <sz val="16"/>
      <color rgb="FF000000"/>
      <name val="Arial"/>
      <family val="2"/>
    </font>
    <font>
      <b/>
      <sz val="14"/>
      <color rgb="FF000000"/>
      <name val="Arial"/>
      <family val="2"/>
    </font>
    <font>
      <b/>
      <sz val="11"/>
      <color rgb="FF000000"/>
      <name val="Arial"/>
      <family val="2"/>
    </font>
    <font>
      <sz val="12"/>
      <color rgb="FF0066CC"/>
      <name val="Arial"/>
      <family val="2"/>
    </font>
    <font>
      <sz val="12"/>
      <color rgb="FFFF00FF"/>
      <name val="Arial"/>
      <family val="2"/>
    </font>
    <font>
      <b/>
      <sz val="12"/>
      <color rgb="FF000000"/>
      <name val="Arial"/>
      <family val="2"/>
    </font>
    <font>
      <sz val="20"/>
      <color rgb="FF000000"/>
      <name val="Calibri"/>
      <family val="2"/>
    </font>
    <font>
      <sz val="26"/>
      <name val="Arial"/>
      <family val="2"/>
    </font>
    <font>
      <b/>
      <sz val="18"/>
      <name val="Arial"/>
      <family val="2"/>
    </font>
    <font>
      <b/>
      <sz val="14"/>
      <name val="Arial"/>
      <family val="2"/>
    </font>
    <font>
      <sz val="28"/>
      <color theme="0" tint="-0.499984740745262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6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</patternFill>
    </fill>
    <fill>
      <patternFill patternType="solid">
        <fgColor rgb="FFFFFF00"/>
      </patternFill>
    </fill>
    <fill>
      <patternFill patternType="solid">
        <fgColor rgb="FF00B050"/>
      </patternFill>
    </fill>
    <fill>
      <patternFill patternType="solid">
        <fgColor theme="0"/>
        <bgColor rgb="FFC00000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0000"/>
        <bgColor rgb="FFFF0000"/>
      </patternFill>
    </fill>
    <fill>
      <patternFill patternType="solid">
        <fgColor rgb="FF92D050"/>
        <bgColor rgb="FF92D050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0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33" borderId="0" xfId="0" applyFill="1"/>
    <xf numFmtId="0" fontId="0" fillId="33" borderId="0" xfId="0" applyFill="1" applyAlignment="1">
      <alignment horizontal="left"/>
    </xf>
    <xf numFmtId="0" fontId="0" fillId="33" borderId="0" xfId="0" applyFill="1" applyAlignment="1">
      <alignment horizontal="center"/>
    </xf>
    <xf numFmtId="0" fontId="0" fillId="34" borderId="0" xfId="0" applyFill="1"/>
    <xf numFmtId="2" fontId="0" fillId="0" borderId="0" xfId="0" applyNumberFormat="1"/>
    <xf numFmtId="0" fontId="6" fillId="2" borderId="0" xfId="0" applyFont="1" applyFill="1"/>
    <xf numFmtId="2" fontId="0" fillId="33" borderId="24" xfId="0" applyNumberFormat="1" applyFill="1" applyBorder="1" applyAlignment="1">
      <alignment horizontal="center"/>
    </xf>
    <xf numFmtId="2" fontId="0" fillId="33" borderId="25" xfId="0" applyNumberFormat="1" applyFill="1" applyBorder="1" applyAlignment="1">
      <alignment horizontal="center"/>
    </xf>
    <xf numFmtId="0" fontId="0" fillId="33" borderId="23" xfId="0" applyFill="1" applyBorder="1" applyAlignment="1">
      <alignment horizontal="center"/>
    </xf>
    <xf numFmtId="0" fontId="0" fillId="33" borderId="24" xfId="0" applyFill="1" applyBorder="1" applyAlignment="1">
      <alignment horizontal="center"/>
    </xf>
    <xf numFmtId="0" fontId="0" fillId="33" borderId="25" xfId="0" applyFill="1" applyBorder="1" applyAlignment="1">
      <alignment horizontal="center"/>
    </xf>
    <xf numFmtId="0" fontId="0" fillId="0" borderId="25" xfId="0" applyBorder="1" applyAlignment="1">
      <alignment horizontal="left"/>
    </xf>
    <xf numFmtId="2" fontId="0" fillId="0" borderId="25" xfId="0" applyNumberFormat="1" applyBorder="1" applyAlignment="1">
      <alignment horizontal="center"/>
    </xf>
    <xf numFmtId="0" fontId="6" fillId="2" borderId="26" xfId="0" applyFont="1" applyFill="1" applyBorder="1"/>
    <xf numFmtId="0" fontId="17" fillId="29" borderId="26" xfId="0" applyFont="1" applyFill="1" applyBorder="1" applyAlignment="1">
      <alignment horizontal="center"/>
    </xf>
    <xf numFmtId="0" fontId="0" fillId="0" borderId="23" xfId="0" pivotButton="1" applyBorder="1"/>
    <xf numFmtId="0" fontId="0" fillId="0" borderId="18" xfId="0" applyBorder="1"/>
    <xf numFmtId="0" fontId="0" fillId="0" borderId="18" xfId="0" pivotButton="1" applyBorder="1"/>
    <xf numFmtId="0" fontId="17" fillId="21" borderId="19" xfId="0" applyFont="1" applyFill="1" applyBorder="1" applyAlignment="1">
      <alignment horizontal="center"/>
    </xf>
    <xf numFmtId="0" fontId="0" fillId="33" borderId="12" xfId="0" applyFill="1" applyBorder="1"/>
    <xf numFmtId="0" fontId="0" fillId="0" borderId="15" xfId="0" applyBorder="1"/>
    <xf numFmtId="0" fontId="17" fillId="29" borderId="23" xfId="0" applyFont="1" applyFill="1" applyBorder="1" applyAlignment="1">
      <alignment horizontal="left"/>
    </xf>
    <xf numFmtId="0" fontId="17" fillId="21" borderId="25" xfId="0" applyFont="1" applyFill="1" applyBorder="1" applyAlignment="1">
      <alignment horizontal="left"/>
    </xf>
    <xf numFmtId="0" fontId="0" fillId="0" borderId="26" xfId="0" applyBorder="1" applyAlignment="1">
      <alignment horizontal="center"/>
    </xf>
    <xf numFmtId="0" fontId="23" fillId="33" borderId="12" xfId="0" applyFont="1" applyFill="1" applyBorder="1" applyAlignment="1">
      <alignment horizontal="center"/>
    </xf>
    <xf numFmtId="0" fontId="0" fillId="33" borderId="26" xfId="0" applyFill="1" applyBorder="1" applyAlignment="1">
      <alignment horizontal="left"/>
    </xf>
    <xf numFmtId="0" fontId="34" fillId="33" borderId="0" xfId="0" applyFont="1" applyFill="1"/>
    <xf numFmtId="0" fontId="0" fillId="0" borderId="10" xfId="0" applyBorder="1"/>
    <xf numFmtId="0" fontId="0" fillId="0" borderId="12" xfId="0" applyBorder="1"/>
    <xf numFmtId="0" fontId="23" fillId="33" borderId="19" xfId="0" applyFont="1" applyFill="1" applyBorder="1" applyAlignment="1">
      <alignment horizontal="center"/>
    </xf>
    <xf numFmtId="0" fontId="0" fillId="33" borderId="27" xfId="0" applyFill="1" applyBorder="1" applyAlignment="1">
      <alignment horizontal="center"/>
    </xf>
    <xf numFmtId="0" fontId="0" fillId="33" borderId="19" xfId="0" applyFill="1" applyBorder="1" applyAlignment="1">
      <alignment horizontal="center"/>
    </xf>
    <xf numFmtId="0" fontId="23" fillId="33" borderId="26" xfId="0" applyFont="1" applyFill="1" applyBorder="1" applyAlignment="1">
      <alignment horizontal="center"/>
    </xf>
    <xf numFmtId="0" fontId="0" fillId="33" borderId="18" xfId="0" applyFill="1" applyBorder="1" applyAlignment="1">
      <alignment horizontal="center"/>
    </xf>
    <xf numFmtId="0" fontId="0" fillId="46" borderId="26" xfId="0" applyFill="1" applyBorder="1" applyAlignment="1">
      <alignment horizontal="left"/>
    </xf>
    <xf numFmtId="0" fontId="0" fillId="39" borderId="25" xfId="0" applyFill="1" applyBorder="1" applyAlignment="1">
      <alignment horizontal="left"/>
    </xf>
    <xf numFmtId="0" fontId="23" fillId="50" borderId="25" xfId="0" applyFont="1" applyFill="1" applyBorder="1" applyAlignment="1">
      <alignment horizontal="left"/>
    </xf>
    <xf numFmtId="0" fontId="23" fillId="49" borderId="25" xfId="0" applyFont="1" applyFill="1" applyBorder="1" applyAlignment="1">
      <alignment horizontal="left"/>
    </xf>
    <xf numFmtId="0" fontId="0" fillId="48" borderId="25" xfId="0" applyFill="1" applyBorder="1" applyAlignment="1">
      <alignment horizontal="left"/>
    </xf>
    <xf numFmtId="0" fontId="23" fillId="51" borderId="25" xfId="0" applyFont="1" applyFill="1" applyBorder="1" applyAlignment="1">
      <alignment horizontal="left"/>
    </xf>
    <xf numFmtId="1" fontId="0" fillId="46" borderId="19" xfId="0" applyNumberFormat="1" applyFill="1" applyBorder="1"/>
    <xf numFmtId="1" fontId="0" fillId="39" borderId="17" xfId="0" applyNumberFormat="1" applyFill="1" applyBorder="1"/>
    <xf numFmtId="1" fontId="23" fillId="49" borderId="17" xfId="0" applyNumberFormat="1" applyFont="1" applyFill="1" applyBorder="1"/>
    <xf numFmtId="1" fontId="23" fillId="50" borderId="17" xfId="0" applyNumberFormat="1" applyFont="1" applyFill="1" applyBorder="1"/>
    <xf numFmtId="1" fontId="0" fillId="48" borderId="17" xfId="0" applyNumberFormat="1" applyFill="1" applyBorder="1"/>
    <xf numFmtId="1" fontId="23" fillId="51" borderId="17" xfId="0" applyNumberFormat="1" applyFont="1" applyFill="1" applyBorder="1"/>
    <xf numFmtId="0" fontId="0" fillId="33" borderId="14" xfId="0" applyFill="1" applyBorder="1"/>
    <xf numFmtId="0" fontId="23" fillId="44" borderId="15" xfId="0" applyFont="1" applyFill="1" applyBorder="1" applyAlignment="1">
      <alignment horizontal="left"/>
    </xf>
    <xf numFmtId="0" fontId="23" fillId="47" borderId="15" xfId="0" applyFont="1" applyFill="1" applyBorder="1" applyAlignment="1">
      <alignment horizontal="left"/>
    </xf>
    <xf numFmtId="0" fontId="23" fillId="37" borderId="15" xfId="0" applyFont="1" applyFill="1" applyBorder="1" applyAlignment="1">
      <alignment horizontal="left"/>
    </xf>
    <xf numFmtId="0" fontId="23" fillId="0" borderId="0" xfId="0" applyFont="1"/>
    <xf numFmtId="0" fontId="46" fillId="0" borderId="26" xfId="0" applyFont="1" applyBorder="1" applyAlignment="1">
      <alignment horizontal="center"/>
    </xf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46" fillId="33" borderId="26" xfId="0" applyFont="1" applyFill="1" applyBorder="1" applyAlignment="1">
      <alignment horizontal="center" vertical="center"/>
    </xf>
    <xf numFmtId="0" fontId="0" fillId="33" borderId="24" xfId="0" applyFill="1" applyBorder="1"/>
    <xf numFmtId="0" fontId="0" fillId="33" borderId="25" xfId="0" applyFill="1" applyBorder="1"/>
    <xf numFmtId="0" fontId="0" fillId="53" borderId="0" xfId="0" applyFill="1"/>
    <xf numFmtId="0" fontId="0" fillId="54" borderId="26" xfId="0" applyFill="1" applyBorder="1"/>
    <xf numFmtId="0" fontId="0" fillId="33" borderId="26" xfId="0" applyFill="1" applyBorder="1" applyAlignment="1">
      <alignment horizontal="center"/>
    </xf>
    <xf numFmtId="2" fontId="0" fillId="33" borderId="26" xfId="0" applyNumberFormat="1" applyFill="1" applyBorder="1" applyAlignment="1">
      <alignment horizontal="center"/>
    </xf>
    <xf numFmtId="0" fontId="0" fillId="0" borderId="26" xfId="0" applyBorder="1" applyAlignment="1">
      <alignment horizontal="left"/>
    </xf>
    <xf numFmtId="2" fontId="0" fillId="0" borderId="26" xfId="0" applyNumberFormat="1" applyBorder="1" applyAlignment="1">
      <alignment horizontal="center"/>
    </xf>
    <xf numFmtId="0" fontId="23" fillId="33" borderId="26" xfId="0" applyFont="1" applyFill="1" applyBorder="1"/>
    <xf numFmtId="0" fontId="23" fillId="0" borderId="23" xfId="0" pivotButton="1" applyFont="1" applyBorder="1" applyAlignment="1">
      <alignment horizontal="center"/>
    </xf>
    <xf numFmtId="0" fontId="0" fillId="56" borderId="15" xfId="0" applyFill="1" applyBorder="1" applyAlignment="1">
      <alignment horizontal="left"/>
    </xf>
    <xf numFmtId="0" fontId="0" fillId="57" borderId="15" xfId="0" applyFill="1" applyBorder="1" applyAlignment="1">
      <alignment horizontal="left"/>
    </xf>
    <xf numFmtId="0" fontId="0" fillId="46" borderId="18" xfId="0" applyFill="1" applyBorder="1" applyAlignment="1">
      <alignment horizontal="left"/>
    </xf>
    <xf numFmtId="1" fontId="0" fillId="33" borderId="0" xfId="0" applyNumberFormat="1" applyFill="1"/>
    <xf numFmtId="1" fontId="23" fillId="33" borderId="0" xfId="0" applyNumberFormat="1" applyFont="1" applyFill="1"/>
    <xf numFmtId="0" fontId="18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7" fillId="0" borderId="26" xfId="0" applyFont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0" fontId="50" fillId="0" borderId="26" xfId="0" applyFont="1" applyBorder="1" applyAlignment="1">
      <alignment horizontal="center" vertical="center"/>
    </xf>
    <xf numFmtId="0" fontId="51" fillId="0" borderId="26" xfId="0" applyFont="1" applyBorder="1" applyAlignment="1">
      <alignment horizontal="center" vertical="center"/>
    </xf>
    <xf numFmtId="0" fontId="52" fillId="0" borderId="26" xfId="0" applyFont="1" applyBorder="1" applyAlignment="1">
      <alignment horizontal="center" vertical="center"/>
    </xf>
    <xf numFmtId="0" fontId="53" fillId="0" borderId="26" xfId="0" applyFont="1" applyBorder="1" applyAlignment="1">
      <alignment horizontal="center" vertical="center"/>
    </xf>
    <xf numFmtId="0" fontId="54" fillId="0" borderId="26" xfId="0" applyFont="1" applyBorder="1" applyAlignment="1">
      <alignment horizontal="center" vertical="center"/>
    </xf>
    <xf numFmtId="0" fontId="55" fillId="0" borderId="26" xfId="0" applyFont="1" applyBorder="1" applyAlignment="1">
      <alignment horizontal="center" vertical="center"/>
    </xf>
    <xf numFmtId="2" fontId="0" fillId="33" borderId="0" xfId="0" applyNumberFormat="1" applyFill="1" applyAlignment="1">
      <alignment horizontal="center"/>
    </xf>
    <xf numFmtId="0" fontId="0" fillId="33" borderId="10" xfId="0" applyFill="1" applyBorder="1"/>
    <xf numFmtId="0" fontId="0" fillId="33" borderId="13" xfId="0" applyFill="1" applyBorder="1"/>
    <xf numFmtId="0" fontId="0" fillId="33" borderId="15" xfId="0" applyFill="1" applyBorder="1"/>
    <xf numFmtId="0" fontId="0" fillId="33" borderId="17" xfId="0" applyFill="1" applyBorder="1"/>
    <xf numFmtId="0" fontId="32" fillId="2" borderId="7" xfId="0" applyFont="1" applyFill="1" applyBorder="1" applyAlignment="1">
      <alignment horizontal="left"/>
    </xf>
    <xf numFmtId="2" fontId="23" fillId="2" borderId="7" xfId="0" applyNumberFormat="1" applyFont="1" applyFill="1" applyBorder="1"/>
    <xf numFmtId="0" fontId="47" fillId="33" borderId="26" xfId="0" applyFont="1" applyFill="1" applyBorder="1" applyAlignment="1">
      <alignment horizontal="center" vertical="center"/>
    </xf>
    <xf numFmtId="0" fontId="46" fillId="0" borderId="26" xfId="0" applyFont="1" applyBorder="1" applyAlignment="1">
      <alignment horizontal="center" vertical="center"/>
    </xf>
    <xf numFmtId="0" fontId="17" fillId="0" borderId="0" xfId="0" applyFont="1" applyProtection="1">
      <protection hidden="1"/>
    </xf>
    <xf numFmtId="0" fontId="23" fillId="33" borderId="0" xfId="0" applyFont="1" applyFill="1"/>
    <xf numFmtId="0" fontId="23" fillId="33" borderId="0" xfId="0" applyFont="1" applyFill="1" applyProtection="1">
      <protection hidden="1"/>
    </xf>
    <xf numFmtId="0" fontId="32" fillId="0" borderId="26" xfId="0" applyFont="1" applyBorder="1" applyAlignment="1">
      <alignment horizontal="left" vertical="center"/>
    </xf>
    <xf numFmtId="0" fontId="32" fillId="0" borderId="26" xfId="0" applyFont="1" applyBorder="1" applyAlignment="1">
      <alignment horizontal="center" vertical="center"/>
    </xf>
    <xf numFmtId="0" fontId="23" fillId="0" borderId="0" xfId="0" applyFont="1" applyAlignment="1">
      <alignment vertical="center"/>
    </xf>
    <xf numFmtId="0" fontId="23" fillId="0" borderId="26" xfId="0" applyFont="1" applyBorder="1" applyAlignment="1" applyProtection="1">
      <alignment horizontal="left"/>
      <protection locked="0"/>
    </xf>
    <xf numFmtId="0" fontId="23" fillId="0" borderId="26" xfId="0" applyFont="1" applyBorder="1" applyAlignment="1" applyProtection="1">
      <alignment horizontal="center"/>
      <protection locked="0"/>
    </xf>
    <xf numFmtId="0" fontId="23" fillId="0" borderId="26" xfId="0" applyFont="1" applyBorder="1" applyProtection="1">
      <protection locked="0"/>
    </xf>
    <xf numFmtId="0" fontId="67" fillId="0" borderId="27" xfId="0" applyFont="1" applyBorder="1" applyAlignment="1">
      <alignment horizontal="center" vertical="center"/>
    </xf>
    <xf numFmtId="0" fontId="32" fillId="0" borderId="27" xfId="0" applyFont="1" applyBorder="1" applyAlignment="1">
      <alignment horizontal="center" vertical="center"/>
    </xf>
    <xf numFmtId="0" fontId="32" fillId="0" borderId="26" xfId="0" applyFont="1" applyBorder="1" applyAlignment="1">
      <alignment horizontal="left"/>
    </xf>
    <xf numFmtId="0" fontId="32" fillId="0" borderId="26" xfId="0" applyFont="1" applyBorder="1" applyAlignment="1">
      <alignment horizontal="center"/>
    </xf>
    <xf numFmtId="0" fontId="32" fillId="0" borderId="0" xfId="0" applyFont="1" applyAlignment="1">
      <alignment horizontal="center"/>
    </xf>
    <xf numFmtId="0" fontId="0" fillId="32" borderId="7" xfId="0" applyFill="1" applyBorder="1" applyAlignment="1">
      <alignment horizontal="left"/>
    </xf>
    <xf numFmtId="2" fontId="0" fillId="32" borderId="7" xfId="0" applyNumberFormat="1" applyFill="1" applyBorder="1"/>
    <xf numFmtId="0" fontId="0" fillId="32" borderId="0" xfId="0" applyFill="1"/>
    <xf numFmtId="0" fontId="0" fillId="18" borderId="0" xfId="0" applyFill="1"/>
    <xf numFmtId="0" fontId="0" fillId="18" borderId="7" xfId="0" applyFill="1" applyBorder="1" applyAlignment="1">
      <alignment horizontal="left"/>
    </xf>
    <xf numFmtId="2" fontId="0" fillId="18" borderId="7" xfId="0" applyNumberFormat="1" applyFill="1" applyBorder="1" applyAlignment="1">
      <alignment horizontal="right"/>
    </xf>
    <xf numFmtId="0" fontId="0" fillId="24" borderId="26" xfId="0" applyFill="1" applyBorder="1"/>
    <xf numFmtId="0" fontId="0" fillId="32" borderId="26" xfId="0" applyFill="1" applyBorder="1"/>
    <xf numFmtId="0" fontId="17" fillId="29" borderId="23" xfId="0" applyFont="1" applyFill="1" applyBorder="1"/>
    <xf numFmtId="0" fontId="17" fillId="21" borderId="25" xfId="0" applyFont="1" applyFill="1" applyBorder="1"/>
    <xf numFmtId="0" fontId="17" fillId="21" borderId="17" xfId="0" applyFont="1" applyFill="1" applyBorder="1" applyAlignment="1">
      <alignment horizontal="center"/>
    </xf>
    <xf numFmtId="0" fontId="17" fillId="29" borderId="25" xfId="0" applyFont="1" applyFill="1" applyBorder="1" applyAlignment="1">
      <alignment horizontal="center"/>
    </xf>
    <xf numFmtId="0" fontId="0" fillId="0" borderId="19" xfId="0" applyBorder="1"/>
    <xf numFmtId="0" fontId="0" fillId="0" borderId="17" xfId="0" applyBorder="1"/>
    <xf numFmtId="0" fontId="0" fillId="39" borderId="17" xfId="0" applyFill="1" applyBorder="1" applyAlignment="1">
      <alignment horizontal="center"/>
    </xf>
    <xf numFmtId="0" fontId="0" fillId="39" borderId="16" xfId="0" applyFill="1" applyBorder="1" applyAlignment="1">
      <alignment horizontal="center"/>
    </xf>
    <xf numFmtId="0" fontId="23" fillId="50" borderId="17" xfId="0" applyFont="1" applyFill="1" applyBorder="1" applyAlignment="1">
      <alignment horizontal="center"/>
    </xf>
    <xf numFmtId="0" fontId="23" fillId="50" borderId="16" xfId="0" applyFont="1" applyFill="1" applyBorder="1" applyAlignment="1">
      <alignment horizontal="center"/>
    </xf>
    <xf numFmtId="0" fontId="23" fillId="49" borderId="17" xfId="0" applyFont="1" applyFill="1" applyBorder="1" applyAlignment="1">
      <alignment horizontal="center"/>
    </xf>
    <xf numFmtId="0" fontId="23" fillId="49" borderId="16" xfId="0" applyFont="1" applyFill="1" applyBorder="1" applyAlignment="1">
      <alignment horizontal="center"/>
    </xf>
    <xf numFmtId="0" fontId="0" fillId="48" borderId="17" xfId="0" applyFill="1" applyBorder="1" applyAlignment="1">
      <alignment horizontal="center"/>
    </xf>
    <xf numFmtId="0" fontId="0" fillId="48" borderId="16" xfId="0" applyFill="1" applyBorder="1" applyAlignment="1">
      <alignment horizontal="center"/>
    </xf>
    <xf numFmtId="0" fontId="23" fillId="51" borderId="17" xfId="0" applyFont="1" applyFill="1" applyBorder="1" applyAlignment="1">
      <alignment horizontal="center"/>
    </xf>
    <xf numFmtId="0" fontId="23" fillId="51" borderId="16" xfId="0" applyFont="1" applyFill="1" applyBorder="1" applyAlignment="1">
      <alignment horizontal="center"/>
    </xf>
    <xf numFmtId="0" fontId="0" fillId="46" borderId="19" xfId="0" applyFill="1" applyBorder="1" applyAlignment="1">
      <alignment horizontal="center"/>
    </xf>
    <xf numFmtId="0" fontId="0" fillId="46" borderId="27" xfId="0" applyFill="1" applyBorder="1" applyAlignment="1">
      <alignment horizontal="center"/>
    </xf>
    <xf numFmtId="0" fontId="0" fillId="52" borderId="23" xfId="0" applyFill="1" applyBorder="1" applyAlignment="1">
      <alignment horizontal="center"/>
    </xf>
    <xf numFmtId="0" fontId="32" fillId="33" borderId="0" xfId="0" applyFont="1" applyFill="1"/>
    <xf numFmtId="0" fontId="0" fillId="33" borderId="23" xfId="0" applyFill="1" applyBorder="1" applyAlignment="1">
      <alignment horizontal="center"/>
    </xf>
    <xf numFmtId="0" fontId="0" fillId="33" borderId="24" xfId="0" applyFill="1" applyBorder="1" applyAlignment="1">
      <alignment horizontal="center"/>
    </xf>
    <xf numFmtId="0" fontId="0" fillId="33" borderId="25" xfId="0" applyFill="1" applyBorder="1" applyAlignment="1">
      <alignment horizontal="center"/>
    </xf>
    <xf numFmtId="0" fontId="13" fillId="34" borderId="18" xfId="0" applyFont="1" applyFill="1" applyBorder="1" applyAlignment="1">
      <alignment horizontal="center"/>
    </xf>
    <xf numFmtId="0" fontId="13" fillId="34" borderId="19" xfId="0" applyFont="1" applyFill="1" applyBorder="1" applyAlignment="1">
      <alignment horizontal="center"/>
    </xf>
    <xf numFmtId="1" fontId="24" fillId="36" borderId="10" xfId="0" applyNumberFormat="1" applyFont="1" applyFill="1" applyBorder="1" applyAlignment="1" applyProtection="1">
      <alignment horizontal="center" vertical="center"/>
      <protection hidden="1"/>
    </xf>
    <xf numFmtId="1" fontId="24" fillId="36" borderId="12" xfId="0" applyNumberFormat="1" applyFont="1" applyFill="1" applyBorder="1" applyAlignment="1" applyProtection="1">
      <alignment horizontal="center" vertical="center"/>
      <protection hidden="1"/>
    </xf>
    <xf numFmtId="1" fontId="24" fillId="36" borderId="13" xfId="0" applyNumberFormat="1" applyFont="1" applyFill="1" applyBorder="1" applyAlignment="1" applyProtection="1">
      <alignment horizontal="center" vertical="center"/>
      <protection hidden="1"/>
    </xf>
    <xf numFmtId="1" fontId="24" fillId="36" borderId="14" xfId="0" applyNumberFormat="1" applyFont="1" applyFill="1" applyBorder="1" applyAlignment="1" applyProtection="1">
      <alignment horizontal="center" vertical="center"/>
      <protection hidden="1"/>
    </xf>
    <xf numFmtId="2" fontId="24" fillId="36" borderId="10" xfId="0" applyNumberFormat="1" applyFont="1" applyFill="1" applyBorder="1" applyAlignment="1" applyProtection="1">
      <alignment horizontal="center" vertical="center"/>
      <protection hidden="1"/>
    </xf>
    <xf numFmtId="2" fontId="24" fillId="36" borderId="12" xfId="0" applyNumberFormat="1" applyFont="1" applyFill="1" applyBorder="1" applyAlignment="1" applyProtection="1">
      <alignment horizontal="center" vertical="center"/>
      <protection hidden="1"/>
    </xf>
    <xf numFmtId="2" fontId="24" fillId="36" borderId="13" xfId="0" applyNumberFormat="1" applyFont="1" applyFill="1" applyBorder="1" applyAlignment="1" applyProtection="1">
      <alignment horizontal="center" vertical="center"/>
      <protection hidden="1"/>
    </xf>
    <xf numFmtId="2" fontId="24" fillId="36" borderId="14" xfId="0" applyNumberFormat="1" applyFont="1" applyFill="1" applyBorder="1" applyAlignment="1" applyProtection="1">
      <alignment horizontal="center" vertical="center"/>
      <protection hidden="1"/>
    </xf>
    <xf numFmtId="2" fontId="24" fillId="36" borderId="15" xfId="0" applyNumberFormat="1" applyFont="1" applyFill="1" applyBorder="1" applyAlignment="1" applyProtection="1">
      <alignment horizontal="center" vertical="center"/>
      <protection hidden="1"/>
    </xf>
    <xf numFmtId="2" fontId="24" fillId="36" borderId="17" xfId="0" applyNumberFormat="1" applyFont="1" applyFill="1" applyBorder="1" applyAlignment="1" applyProtection="1">
      <alignment horizontal="center" vertical="center"/>
      <protection hidden="1"/>
    </xf>
    <xf numFmtId="1" fontId="24" fillId="36" borderId="15" xfId="0" applyNumberFormat="1" applyFont="1" applyFill="1" applyBorder="1" applyAlignment="1" applyProtection="1">
      <alignment horizontal="center" vertical="center"/>
      <protection hidden="1"/>
    </xf>
    <xf numFmtId="1" fontId="24" fillId="36" borderId="17" xfId="0" applyNumberFormat="1" applyFont="1" applyFill="1" applyBorder="1" applyAlignment="1" applyProtection="1">
      <alignment horizontal="center" vertical="center"/>
      <protection hidden="1"/>
    </xf>
    <xf numFmtId="0" fontId="26" fillId="35" borderId="23" xfId="0" applyFont="1" applyFill="1" applyBorder="1" applyAlignment="1">
      <alignment horizontal="center" vertical="center" textRotation="90"/>
    </xf>
    <xf numFmtId="0" fontId="26" fillId="35" borderId="24" xfId="0" applyFont="1" applyFill="1" applyBorder="1" applyAlignment="1">
      <alignment horizontal="center" vertical="center" textRotation="90"/>
    </xf>
    <xf numFmtId="0" fontId="26" fillId="35" borderId="25" xfId="0" applyFont="1" applyFill="1" applyBorder="1" applyAlignment="1">
      <alignment horizontal="center" vertical="center" textRotation="90"/>
    </xf>
    <xf numFmtId="0" fontId="26" fillId="37" borderId="22" xfId="0" applyFont="1" applyFill="1" applyBorder="1" applyAlignment="1">
      <alignment horizontal="center" vertical="center" textRotation="90"/>
    </xf>
    <xf numFmtId="0" fontId="26" fillId="37" borderId="0" xfId="0" applyFont="1" applyFill="1" applyAlignment="1">
      <alignment horizontal="center" vertical="center" textRotation="90"/>
    </xf>
    <xf numFmtId="0" fontId="26" fillId="37" borderId="20" xfId="0" applyFont="1" applyFill="1" applyBorder="1" applyAlignment="1">
      <alignment horizontal="center" vertical="center" textRotation="90"/>
    </xf>
    <xf numFmtId="0" fontId="26" fillId="37" borderId="21" xfId="0" applyFont="1" applyFill="1" applyBorder="1" applyAlignment="1">
      <alignment horizontal="center" vertical="center" textRotation="90"/>
    </xf>
    <xf numFmtId="0" fontId="25" fillId="37" borderId="10" xfId="0" applyFont="1" applyFill="1" applyBorder="1" applyAlignment="1">
      <alignment horizontal="center" vertical="center"/>
    </xf>
    <xf numFmtId="0" fontId="17" fillId="37" borderId="11" xfId="0" applyFont="1" applyFill="1" applyBorder="1" applyAlignment="1">
      <alignment horizontal="center" vertical="center"/>
    </xf>
    <xf numFmtId="0" fontId="17" fillId="37" borderId="12" xfId="0" applyFont="1" applyFill="1" applyBorder="1" applyAlignment="1">
      <alignment horizontal="center" vertical="center"/>
    </xf>
    <xf numFmtId="0" fontId="17" fillId="34" borderId="13" xfId="0" applyFont="1" applyFill="1" applyBorder="1" applyAlignment="1">
      <alignment horizontal="center"/>
    </xf>
    <xf numFmtId="0" fontId="17" fillId="34" borderId="0" xfId="0" applyFont="1" applyFill="1" applyAlignment="1">
      <alignment horizontal="center"/>
    </xf>
    <xf numFmtId="0" fontId="17" fillId="34" borderId="14" xfId="0" applyFont="1" applyFill="1" applyBorder="1" applyAlignment="1">
      <alignment horizontal="center"/>
    </xf>
    <xf numFmtId="0" fontId="17" fillId="34" borderId="15" xfId="0" applyFont="1" applyFill="1" applyBorder="1" applyAlignment="1">
      <alignment horizontal="center"/>
    </xf>
    <xf numFmtId="0" fontId="17" fillId="34" borderId="16" xfId="0" applyFont="1" applyFill="1" applyBorder="1" applyAlignment="1">
      <alignment horizontal="center"/>
    </xf>
    <xf numFmtId="0" fontId="13" fillId="34" borderId="15" xfId="0" applyFont="1" applyFill="1" applyBorder="1" applyAlignment="1">
      <alignment horizontal="center"/>
    </xf>
    <xf numFmtId="0" fontId="13" fillId="34" borderId="17" xfId="0" applyFont="1" applyFill="1" applyBorder="1" applyAlignment="1">
      <alignment horizontal="center"/>
    </xf>
    <xf numFmtId="0" fontId="34" fillId="34" borderId="0" xfId="0" applyFont="1" applyFill="1" applyAlignment="1">
      <alignment horizontal="center"/>
    </xf>
    <xf numFmtId="0" fontId="34" fillId="34" borderId="14" xfId="0" applyFont="1" applyFill="1" applyBorder="1" applyAlignment="1">
      <alignment horizontal="center"/>
    </xf>
    <xf numFmtId="0" fontId="34" fillId="34" borderId="13" xfId="0" applyFont="1" applyFill="1" applyBorder="1" applyAlignment="1">
      <alignment horizontal="center"/>
    </xf>
    <xf numFmtId="0" fontId="34" fillId="34" borderId="16" xfId="0" applyFont="1" applyFill="1" applyBorder="1" applyAlignment="1">
      <alignment horizontal="center"/>
    </xf>
    <xf numFmtId="0" fontId="34" fillId="34" borderId="17" xfId="0" applyFont="1" applyFill="1" applyBorder="1" applyAlignment="1">
      <alignment horizontal="center"/>
    </xf>
    <xf numFmtId="2" fontId="36" fillId="36" borderId="10" xfId="0" applyNumberFormat="1" applyFont="1" applyFill="1" applyBorder="1" applyAlignment="1" applyProtection="1">
      <alignment horizontal="center" vertical="center"/>
      <protection hidden="1"/>
    </xf>
    <xf numFmtId="2" fontId="36" fillId="36" borderId="12" xfId="0" applyNumberFormat="1" applyFont="1" applyFill="1" applyBorder="1" applyAlignment="1" applyProtection="1">
      <alignment horizontal="center" vertical="center"/>
      <protection hidden="1"/>
    </xf>
    <xf numFmtId="2" fontId="36" fillId="36" borderId="13" xfId="0" applyNumberFormat="1" applyFont="1" applyFill="1" applyBorder="1" applyAlignment="1" applyProtection="1">
      <alignment horizontal="center" vertical="center"/>
      <protection hidden="1"/>
    </xf>
    <xf numFmtId="2" fontId="36" fillId="36" borderId="14" xfId="0" applyNumberFormat="1" applyFont="1" applyFill="1" applyBorder="1" applyAlignment="1" applyProtection="1">
      <alignment horizontal="center" vertical="center"/>
      <protection hidden="1"/>
    </xf>
    <xf numFmtId="2" fontId="36" fillId="36" borderId="15" xfId="0" applyNumberFormat="1" applyFont="1" applyFill="1" applyBorder="1" applyAlignment="1" applyProtection="1">
      <alignment horizontal="center" vertical="center"/>
      <protection hidden="1"/>
    </xf>
    <xf numFmtId="2" fontId="36" fillId="36" borderId="17" xfId="0" applyNumberFormat="1" applyFont="1" applyFill="1" applyBorder="1" applyAlignment="1" applyProtection="1">
      <alignment horizontal="center" vertical="center"/>
      <protection hidden="1"/>
    </xf>
    <xf numFmtId="1" fontId="36" fillId="36" borderId="10" xfId="0" applyNumberFormat="1" applyFont="1" applyFill="1" applyBorder="1" applyAlignment="1" applyProtection="1">
      <alignment horizontal="center" vertical="center"/>
      <protection hidden="1"/>
    </xf>
    <xf numFmtId="1" fontId="36" fillId="36" borderId="12" xfId="0" applyNumberFormat="1" applyFont="1" applyFill="1" applyBorder="1" applyAlignment="1" applyProtection="1">
      <alignment horizontal="center" vertical="center"/>
      <protection hidden="1"/>
    </xf>
    <xf numFmtId="1" fontId="36" fillId="36" borderId="13" xfId="0" applyNumberFormat="1" applyFont="1" applyFill="1" applyBorder="1" applyAlignment="1" applyProtection="1">
      <alignment horizontal="center" vertical="center"/>
      <protection hidden="1"/>
    </xf>
    <xf numFmtId="1" fontId="36" fillId="36" borderId="14" xfId="0" applyNumberFormat="1" applyFont="1" applyFill="1" applyBorder="1" applyAlignment="1" applyProtection="1">
      <alignment horizontal="center" vertical="center"/>
      <protection hidden="1"/>
    </xf>
    <xf numFmtId="1" fontId="36" fillId="36" borderId="15" xfId="0" applyNumberFormat="1" applyFont="1" applyFill="1" applyBorder="1" applyAlignment="1" applyProtection="1">
      <alignment horizontal="center" vertical="center"/>
      <protection hidden="1"/>
    </xf>
    <xf numFmtId="1" fontId="36" fillId="36" borderId="17" xfId="0" applyNumberFormat="1" applyFont="1" applyFill="1" applyBorder="1" applyAlignment="1" applyProtection="1">
      <alignment horizontal="center" vertical="center"/>
      <protection hidden="1"/>
    </xf>
    <xf numFmtId="0" fontId="25" fillId="35" borderId="11" xfId="0" applyFont="1" applyFill="1" applyBorder="1" applyAlignment="1">
      <alignment horizontal="center" vertical="center"/>
    </xf>
    <xf numFmtId="0" fontId="17" fillId="35" borderId="11" xfId="0" applyFont="1" applyFill="1" applyBorder="1" applyAlignment="1">
      <alignment horizontal="center" vertical="center"/>
    </xf>
    <xf numFmtId="0" fontId="17" fillId="35" borderId="12" xfId="0" applyFont="1" applyFill="1" applyBorder="1" applyAlignment="1">
      <alignment horizontal="center" vertical="center"/>
    </xf>
    <xf numFmtId="0" fontId="35" fillId="37" borderId="15" xfId="0" applyFont="1" applyFill="1" applyBorder="1" applyAlignment="1">
      <alignment horizontal="center" vertical="center"/>
    </xf>
    <xf numFmtId="0" fontId="35" fillId="37" borderId="16" xfId="0" applyFont="1" applyFill="1" applyBorder="1" applyAlignment="1">
      <alignment horizontal="center" vertical="center"/>
    </xf>
    <xf numFmtId="0" fontId="35" fillId="37" borderId="17" xfId="0" applyFont="1" applyFill="1" applyBorder="1" applyAlignment="1">
      <alignment horizontal="center" vertical="center"/>
    </xf>
    <xf numFmtId="0" fontId="27" fillId="38" borderId="15" xfId="0" applyFont="1" applyFill="1" applyBorder="1" applyAlignment="1">
      <alignment horizontal="center" vertical="center"/>
    </xf>
    <xf numFmtId="0" fontId="27" fillId="38" borderId="16" xfId="0" applyFont="1" applyFill="1" applyBorder="1" applyAlignment="1">
      <alignment horizontal="center" vertical="center"/>
    </xf>
    <xf numFmtId="0" fontId="27" fillId="38" borderId="17" xfId="0" applyFont="1" applyFill="1" applyBorder="1" applyAlignment="1">
      <alignment horizontal="center" vertical="center"/>
    </xf>
    <xf numFmtId="0" fontId="32" fillId="35" borderId="16" xfId="0" applyFont="1" applyFill="1" applyBorder="1" applyAlignment="1">
      <alignment horizontal="center" vertical="center"/>
    </xf>
    <xf numFmtId="0" fontId="32" fillId="35" borderId="17" xfId="0" applyFont="1" applyFill="1" applyBorder="1" applyAlignment="1">
      <alignment horizontal="center" vertical="center"/>
    </xf>
    <xf numFmtId="0" fontId="33" fillId="38" borderId="23" xfId="0" applyFont="1" applyFill="1" applyBorder="1" applyAlignment="1">
      <alignment horizontal="center" vertical="center" textRotation="90"/>
    </xf>
    <xf numFmtId="0" fontId="33" fillId="38" borderId="24" xfId="0" applyFont="1" applyFill="1" applyBorder="1" applyAlignment="1">
      <alignment horizontal="center" vertical="center" textRotation="90"/>
    </xf>
    <xf numFmtId="0" fontId="33" fillId="38" borderId="25" xfId="0" applyFont="1" applyFill="1" applyBorder="1" applyAlignment="1">
      <alignment horizontal="center" vertical="center" textRotation="90"/>
    </xf>
    <xf numFmtId="0" fontId="25" fillId="38" borderId="10" xfId="0" applyFont="1" applyFill="1" applyBorder="1" applyAlignment="1">
      <alignment horizontal="center" vertical="center"/>
    </xf>
    <xf numFmtId="0" fontId="17" fillId="38" borderId="11" xfId="0" applyFont="1" applyFill="1" applyBorder="1" applyAlignment="1">
      <alignment horizontal="center" vertical="center"/>
    </xf>
    <xf numFmtId="0" fontId="17" fillId="38" borderId="12" xfId="0" applyFont="1" applyFill="1" applyBorder="1" applyAlignment="1">
      <alignment horizontal="center" vertical="center"/>
    </xf>
    <xf numFmtId="0" fontId="0" fillId="34" borderId="13" xfId="0" applyFill="1" applyBorder="1" applyAlignment="1">
      <alignment horizontal="center"/>
    </xf>
    <xf numFmtId="0" fontId="0" fillId="34" borderId="0" xfId="0" applyFill="1" applyAlignment="1">
      <alignment horizontal="center"/>
    </xf>
    <xf numFmtId="0" fontId="0" fillId="34" borderId="14" xfId="0" applyFill="1" applyBorder="1" applyAlignment="1">
      <alignment horizontal="center"/>
    </xf>
    <xf numFmtId="0" fontId="0" fillId="34" borderId="15" xfId="0" applyFill="1" applyBorder="1" applyAlignment="1">
      <alignment horizontal="center"/>
    </xf>
    <xf numFmtId="0" fontId="0" fillId="34" borderId="16" xfId="0" applyFill="1" applyBorder="1" applyAlignment="1">
      <alignment horizontal="center"/>
    </xf>
    <xf numFmtId="0" fontId="0" fillId="34" borderId="17" xfId="0" applyFill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16" fillId="44" borderId="18" xfId="0" applyFont="1" applyFill="1" applyBorder="1" applyAlignment="1">
      <alignment horizontal="center"/>
    </xf>
    <xf numFmtId="0" fontId="16" fillId="44" borderId="19" xfId="0" applyFont="1" applyFill="1" applyBorder="1" applyAlignment="1">
      <alignment horizontal="center"/>
    </xf>
    <xf numFmtId="0" fontId="24" fillId="43" borderId="18" xfId="0" applyFont="1" applyFill="1" applyBorder="1" applyAlignment="1" applyProtection="1">
      <alignment horizontal="center" vertical="center"/>
      <protection hidden="1"/>
    </xf>
    <xf numFmtId="0" fontId="24" fillId="43" borderId="19" xfId="0" applyFont="1" applyFill="1" applyBorder="1" applyAlignment="1" applyProtection="1">
      <alignment horizontal="center" vertical="center"/>
      <protection hidden="1"/>
    </xf>
    <xf numFmtId="0" fontId="68" fillId="48" borderId="23" xfId="0" applyFont="1" applyFill="1" applyBorder="1" applyAlignment="1">
      <alignment horizontal="center" vertical="center" textRotation="90"/>
    </xf>
    <xf numFmtId="0" fontId="68" fillId="48" borderId="24" xfId="0" applyFont="1" applyFill="1" applyBorder="1" applyAlignment="1">
      <alignment horizontal="center" vertical="center" textRotation="90"/>
    </xf>
    <xf numFmtId="0" fontId="68" fillId="48" borderId="25" xfId="0" applyFont="1" applyFill="1" applyBorder="1" applyAlignment="1">
      <alignment horizontal="center" vertical="center" textRotation="90"/>
    </xf>
    <xf numFmtId="0" fontId="37" fillId="43" borderId="11" xfId="0" applyFont="1" applyFill="1" applyBorder="1" applyAlignment="1">
      <alignment horizontal="center" vertical="center"/>
    </xf>
    <xf numFmtId="0" fontId="37" fillId="43" borderId="12" xfId="0" applyFont="1" applyFill="1" applyBorder="1" applyAlignment="1">
      <alignment horizontal="center" vertical="center"/>
    </xf>
    <xf numFmtId="0" fontId="37" fillId="43" borderId="16" xfId="0" applyFont="1" applyFill="1" applyBorder="1" applyAlignment="1">
      <alignment horizontal="center" vertical="center"/>
    </xf>
    <xf numFmtId="0" fontId="37" fillId="43" borderId="17" xfId="0" applyFont="1" applyFill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4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16" fillId="45" borderId="18" xfId="0" applyFont="1" applyFill="1" applyBorder="1" applyAlignment="1">
      <alignment horizontal="center"/>
    </xf>
    <xf numFmtId="0" fontId="16" fillId="45" borderId="19" xfId="0" applyFont="1" applyFill="1" applyBorder="1" applyAlignment="1">
      <alignment horizontal="center"/>
    </xf>
    <xf numFmtId="0" fontId="16" fillId="38" borderId="18" xfId="0" applyFont="1" applyFill="1" applyBorder="1" applyAlignment="1">
      <alignment horizontal="center"/>
    </xf>
    <xf numFmtId="0" fontId="16" fillId="38" borderId="19" xfId="0" applyFont="1" applyFill="1" applyBorder="1" applyAlignment="1">
      <alignment horizontal="center"/>
    </xf>
    <xf numFmtId="0" fontId="69" fillId="43" borderId="18" xfId="0" applyFont="1" applyFill="1" applyBorder="1" applyAlignment="1" applyProtection="1">
      <alignment horizontal="center" vertical="center"/>
      <protection hidden="1"/>
    </xf>
    <xf numFmtId="0" fontId="69" fillId="43" borderId="19" xfId="0" applyFont="1" applyFill="1" applyBorder="1" applyAlignment="1" applyProtection="1">
      <alignment horizontal="center" vertical="center"/>
      <protection hidden="1"/>
    </xf>
    <xf numFmtId="0" fontId="38" fillId="43" borderId="18" xfId="0" applyFont="1" applyFill="1" applyBorder="1" applyAlignment="1" applyProtection="1">
      <alignment horizontal="center" vertical="center" wrapText="1"/>
      <protection hidden="1"/>
    </xf>
    <xf numFmtId="0" fontId="38" fillId="43" borderId="19" xfId="0" applyFont="1" applyFill="1" applyBorder="1" applyAlignment="1" applyProtection="1">
      <alignment horizontal="center" vertical="center" wrapText="1"/>
      <protection hidden="1"/>
    </xf>
    <xf numFmtId="0" fontId="43" fillId="40" borderId="23" xfId="0" applyFont="1" applyFill="1" applyBorder="1" applyAlignment="1">
      <alignment horizontal="center" vertical="center" textRotation="90"/>
    </xf>
    <xf numFmtId="0" fontId="43" fillId="40" borderId="24" xfId="0" applyFont="1" applyFill="1" applyBorder="1" applyAlignment="1">
      <alignment horizontal="center" vertical="center" textRotation="90"/>
    </xf>
    <xf numFmtId="0" fontId="43" fillId="40" borderId="25" xfId="0" applyFont="1" applyFill="1" applyBorder="1" applyAlignment="1">
      <alignment horizontal="center" vertical="center" textRotation="90"/>
    </xf>
    <xf numFmtId="0" fontId="16" fillId="42" borderId="18" xfId="0" applyFont="1" applyFill="1" applyBorder="1" applyAlignment="1">
      <alignment horizontal="center"/>
    </xf>
    <xf numFmtId="0" fontId="16" fillId="42" borderId="19" xfId="0" applyFont="1" applyFill="1" applyBorder="1" applyAlignment="1">
      <alignment horizontal="center"/>
    </xf>
    <xf numFmtId="0" fontId="36" fillId="43" borderId="18" xfId="0" applyFont="1" applyFill="1" applyBorder="1" applyAlignment="1" applyProtection="1">
      <alignment horizontal="center" vertical="center"/>
      <protection hidden="1"/>
    </xf>
    <xf numFmtId="0" fontId="36" fillId="43" borderId="19" xfId="0" applyFont="1" applyFill="1" applyBorder="1" applyAlignment="1" applyProtection="1">
      <alignment horizontal="center" vertical="center"/>
      <protection hidden="1"/>
    </xf>
    <xf numFmtId="0" fontId="43" fillId="41" borderId="23" xfId="0" applyFont="1" applyFill="1" applyBorder="1" applyAlignment="1">
      <alignment horizontal="center" vertical="center" textRotation="90"/>
    </xf>
    <xf numFmtId="0" fontId="43" fillId="41" borderId="24" xfId="0" applyFont="1" applyFill="1" applyBorder="1" applyAlignment="1">
      <alignment horizontal="center" vertical="center" textRotation="90"/>
    </xf>
    <xf numFmtId="0" fontId="43" fillId="41" borderId="25" xfId="0" applyFont="1" applyFill="1" applyBorder="1" applyAlignment="1">
      <alignment horizontal="center" vertical="center" textRotation="90"/>
    </xf>
    <xf numFmtId="0" fontId="23" fillId="37" borderId="10" xfId="0" applyFont="1" applyFill="1" applyBorder="1" applyAlignment="1">
      <alignment horizontal="center"/>
    </xf>
    <xf numFmtId="0" fontId="23" fillId="37" borderId="11" xfId="0" applyFont="1" applyFill="1" applyBorder="1" applyAlignment="1">
      <alignment horizontal="center"/>
    </xf>
    <xf numFmtId="0" fontId="23" fillId="37" borderId="12" xfId="0" applyFont="1" applyFill="1" applyBorder="1" applyAlignment="1">
      <alignment horizontal="center"/>
    </xf>
    <xf numFmtId="0" fontId="23" fillId="37" borderId="15" xfId="0" applyFont="1" applyFill="1" applyBorder="1" applyAlignment="1">
      <alignment horizontal="center"/>
    </xf>
    <xf numFmtId="0" fontId="23" fillId="37" borderId="16" xfId="0" applyFont="1" applyFill="1" applyBorder="1" applyAlignment="1">
      <alignment horizontal="center"/>
    </xf>
    <xf numFmtId="0" fontId="23" fillId="37" borderId="17" xfId="0" applyFont="1" applyFill="1" applyBorder="1" applyAlignment="1">
      <alignment horizontal="center"/>
    </xf>
    <xf numFmtId="0" fontId="23" fillId="0" borderId="10" xfId="0" applyFont="1" applyBorder="1" applyAlignment="1">
      <alignment horizontal="center"/>
    </xf>
    <xf numFmtId="0" fontId="23" fillId="0" borderId="12" xfId="0" applyFont="1" applyBorder="1" applyAlignment="1">
      <alignment horizontal="center"/>
    </xf>
    <xf numFmtId="0" fontId="23" fillId="0" borderId="15" xfId="0" applyFont="1" applyBorder="1" applyAlignment="1">
      <alignment horizontal="center"/>
    </xf>
    <xf numFmtId="0" fontId="23" fillId="0" borderId="17" xfId="0" applyFont="1" applyBorder="1" applyAlignment="1">
      <alignment horizontal="center"/>
    </xf>
    <xf numFmtId="0" fontId="56" fillId="0" borderId="18" xfId="0" applyFont="1" applyBorder="1" applyAlignment="1">
      <alignment horizontal="center" vertical="center"/>
    </xf>
    <xf numFmtId="0" fontId="32" fillId="0" borderId="19" xfId="0" applyFont="1" applyBorder="1" applyAlignment="1">
      <alignment horizontal="center" vertical="center"/>
    </xf>
    <xf numFmtId="0" fontId="67" fillId="0" borderId="18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/>
    </xf>
    <xf numFmtId="0" fontId="23" fillId="0" borderId="14" xfId="0" applyFont="1" applyBorder="1" applyAlignment="1">
      <alignment horizontal="center"/>
    </xf>
    <xf numFmtId="0" fontId="66" fillId="53" borderId="13" xfId="0" applyFont="1" applyFill="1" applyBorder="1" applyAlignment="1" applyProtection="1">
      <alignment horizontal="center" vertical="center"/>
      <protection hidden="1"/>
    </xf>
    <xf numFmtId="0" fontId="66" fillId="53" borderId="14" xfId="0" applyFont="1" applyFill="1" applyBorder="1" applyAlignment="1" applyProtection="1">
      <alignment horizontal="center" vertical="center"/>
      <protection hidden="1"/>
    </xf>
    <xf numFmtId="0" fontId="66" fillId="53" borderId="15" xfId="0" applyFont="1" applyFill="1" applyBorder="1" applyAlignment="1" applyProtection="1">
      <alignment horizontal="center" vertical="center"/>
      <protection hidden="1"/>
    </xf>
    <xf numFmtId="0" fontId="66" fillId="53" borderId="17" xfId="0" applyFont="1" applyFill="1" applyBorder="1" applyAlignment="1" applyProtection="1">
      <alignment horizontal="center" vertical="center"/>
      <protection hidden="1"/>
    </xf>
    <xf numFmtId="0" fontId="23" fillId="33" borderId="23" xfId="0" applyFont="1" applyFill="1" applyBorder="1" applyAlignment="1">
      <alignment horizontal="center"/>
    </xf>
    <xf numFmtId="0" fontId="23" fillId="33" borderId="25" xfId="0" applyFont="1" applyFill="1" applyBorder="1" applyAlignment="1">
      <alignment horizontal="center"/>
    </xf>
    <xf numFmtId="0" fontId="56" fillId="55" borderId="18" xfId="0" applyFont="1" applyFill="1" applyBorder="1" applyAlignment="1">
      <alignment horizontal="center" vertical="center"/>
    </xf>
    <xf numFmtId="0" fontId="23" fillId="55" borderId="19" xfId="0" applyFont="1" applyFill="1" applyBorder="1" applyAlignment="1">
      <alignment horizontal="center" vertical="center"/>
    </xf>
    <xf numFmtId="0" fontId="66" fillId="58" borderId="13" xfId="0" applyFont="1" applyFill="1" applyBorder="1" applyAlignment="1" applyProtection="1">
      <alignment horizontal="center" vertical="center"/>
      <protection hidden="1"/>
    </xf>
    <xf numFmtId="0" fontId="66" fillId="58" borderId="14" xfId="0" applyFont="1" applyFill="1" applyBorder="1" applyAlignment="1" applyProtection="1">
      <alignment horizontal="center" vertical="center"/>
      <protection hidden="1"/>
    </xf>
    <xf numFmtId="0" fontId="66" fillId="58" borderId="15" xfId="0" applyFont="1" applyFill="1" applyBorder="1" applyAlignment="1" applyProtection="1">
      <alignment horizontal="center" vertical="center"/>
      <protection hidden="1"/>
    </xf>
    <xf numFmtId="0" fontId="66" fillId="58" borderId="17" xfId="0" applyFont="1" applyFill="1" applyBorder="1" applyAlignment="1" applyProtection="1">
      <alignment horizontal="center" vertical="center"/>
      <protection hidden="1"/>
    </xf>
    <xf numFmtId="0" fontId="65" fillId="53" borderId="23" xfId="0" applyFont="1" applyFill="1" applyBorder="1" applyAlignment="1">
      <alignment horizontal="center" vertical="center" textRotation="90"/>
    </xf>
    <xf numFmtId="0" fontId="65" fillId="53" borderId="24" xfId="0" applyFont="1" applyFill="1" applyBorder="1" applyAlignment="1">
      <alignment horizontal="center" vertical="center" textRotation="90"/>
    </xf>
    <xf numFmtId="0" fontId="65" fillId="53" borderId="25" xfId="0" applyFont="1" applyFill="1" applyBorder="1" applyAlignment="1">
      <alignment horizontal="center" vertical="center" textRotation="90"/>
    </xf>
    <xf numFmtId="0" fontId="56" fillId="53" borderId="11" xfId="0" applyFont="1" applyFill="1" applyBorder="1" applyAlignment="1">
      <alignment horizontal="center" vertical="center"/>
    </xf>
    <xf numFmtId="0" fontId="56" fillId="53" borderId="12" xfId="0" applyFont="1" applyFill="1" applyBorder="1" applyAlignment="1">
      <alignment horizontal="center" vertical="center"/>
    </xf>
    <xf numFmtId="0" fontId="56" fillId="53" borderId="16" xfId="0" applyFont="1" applyFill="1" applyBorder="1" applyAlignment="1">
      <alignment horizontal="center" vertical="center"/>
    </xf>
    <xf numFmtId="0" fontId="56" fillId="53" borderId="17" xfId="0" applyFont="1" applyFill="1" applyBorder="1" applyAlignment="1">
      <alignment horizontal="center" vertical="center"/>
    </xf>
    <xf numFmtId="0" fontId="23" fillId="33" borderId="10" xfId="0" applyFont="1" applyFill="1" applyBorder="1" applyAlignment="1">
      <alignment horizontal="center"/>
    </xf>
    <xf numFmtId="0" fontId="23" fillId="33" borderId="11" xfId="0" applyFont="1" applyFill="1" applyBorder="1" applyAlignment="1">
      <alignment horizontal="center"/>
    </xf>
    <xf numFmtId="0" fontId="23" fillId="33" borderId="12" xfId="0" applyFont="1" applyFill="1" applyBorder="1" applyAlignment="1">
      <alignment horizontal="center"/>
    </xf>
    <xf numFmtId="0" fontId="23" fillId="33" borderId="13" xfId="0" applyFont="1" applyFill="1" applyBorder="1" applyAlignment="1">
      <alignment horizontal="center"/>
    </xf>
    <xf numFmtId="0" fontId="23" fillId="33" borderId="0" xfId="0" applyFont="1" applyFill="1" applyAlignment="1">
      <alignment horizontal="center"/>
    </xf>
    <xf numFmtId="0" fontId="23" fillId="33" borderId="14" xfId="0" applyFont="1" applyFill="1" applyBorder="1" applyAlignment="1">
      <alignment horizontal="center"/>
    </xf>
    <xf numFmtId="0" fontId="23" fillId="33" borderId="15" xfId="0" applyFont="1" applyFill="1" applyBorder="1" applyAlignment="1">
      <alignment horizontal="center"/>
    </xf>
    <xf numFmtId="0" fontId="23" fillId="33" borderId="16" xfId="0" applyFont="1" applyFill="1" applyBorder="1" applyAlignment="1">
      <alignment horizontal="center"/>
    </xf>
    <xf numFmtId="0" fontId="23" fillId="33" borderId="17" xfId="0" applyFont="1" applyFill="1" applyBorder="1" applyAlignment="1">
      <alignment horizontal="center"/>
    </xf>
    <xf numFmtId="0" fontId="56" fillId="59" borderId="18" xfId="0" applyFont="1" applyFill="1" applyBorder="1" applyAlignment="1">
      <alignment horizontal="center" vertical="center"/>
    </xf>
    <xf numFmtId="0" fontId="23" fillId="59" borderId="19" xfId="0" applyFont="1" applyFill="1" applyBorder="1" applyAlignment="1">
      <alignment horizontal="center" vertical="center"/>
    </xf>
    <xf numFmtId="0" fontId="56" fillId="58" borderId="11" xfId="0" applyFont="1" applyFill="1" applyBorder="1" applyAlignment="1">
      <alignment horizontal="center" vertical="center"/>
    </xf>
    <xf numFmtId="0" fontId="56" fillId="58" borderId="12" xfId="0" applyFont="1" applyFill="1" applyBorder="1" applyAlignment="1">
      <alignment horizontal="center" vertical="center"/>
    </xf>
    <xf numFmtId="0" fontId="56" fillId="58" borderId="16" xfId="0" applyFont="1" applyFill="1" applyBorder="1" applyAlignment="1">
      <alignment horizontal="center" vertical="center"/>
    </xf>
    <xf numFmtId="0" fontId="56" fillId="58" borderId="17" xfId="0" applyFont="1" applyFill="1" applyBorder="1" applyAlignment="1">
      <alignment horizontal="center" vertical="center"/>
    </xf>
    <xf numFmtId="0" fontId="65" fillId="58" borderId="23" xfId="0" applyFont="1" applyFill="1" applyBorder="1" applyAlignment="1">
      <alignment horizontal="center" vertical="center" textRotation="90"/>
    </xf>
    <xf numFmtId="0" fontId="65" fillId="58" borderId="24" xfId="0" applyFont="1" applyFill="1" applyBorder="1" applyAlignment="1">
      <alignment horizontal="center" vertical="center" textRotation="90"/>
    </xf>
    <xf numFmtId="0" fontId="65" fillId="58" borderId="25" xfId="0" applyFont="1" applyFill="1" applyBorder="1" applyAlignment="1">
      <alignment horizontal="center" vertical="center" textRotation="90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374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alignment horizontal="center"/>
    </dxf>
    <dxf>
      <font>
        <color auto="1"/>
      </font>
    </dxf>
    <dxf>
      <font>
        <b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alignment horizontal="center"/>
    </dxf>
    <dxf>
      <font>
        <color auto="1"/>
      </font>
    </dxf>
    <dxf>
      <font>
        <b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/>
      </font>
    </dxf>
    <dxf>
      <font>
        <color auto="1"/>
      </font>
    </dxf>
    <dxf>
      <fill>
        <patternFill>
          <bgColor theme="0"/>
        </patternFill>
      </fill>
    </dxf>
    <dxf>
      <alignment horizontal="center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auto="1"/>
      </font>
    </dxf>
    <dxf>
      <font>
        <b/>
      </font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horizontal="center"/>
    </dxf>
    <dxf>
      <alignment horizontal="right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alignment horizontal="center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-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2D05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7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</dxf>
    <dxf>
      <font>
        <color auto="1"/>
      </font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7"/>
        </patternFill>
      </fill>
    </dxf>
    <dxf>
      <font>
        <color auto="1"/>
      </font>
    </dxf>
    <dxf>
      <border>
        <left style="medium">
          <color indexed="64"/>
        </left>
        <top style="medium">
          <color indexed="64"/>
        </top>
      </border>
    </dxf>
    <dxf>
      <font>
        <color theme="9"/>
      </font>
    </dxf>
    <dxf>
      <fill>
        <patternFill>
          <bgColor theme="0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9"/>
        </patternFill>
      </fill>
    </dxf>
    <dxf>
      <alignment horizontal="center"/>
    </dxf>
    <dxf>
      <border>
        <bottom style="medium">
          <color indexed="64"/>
        </bottom>
      </border>
    </dxf>
    <dxf>
      <fill>
        <patternFill>
          <bgColor rgb="FFC00000"/>
        </patternFill>
      </fill>
    </dxf>
    <dxf>
      <numFmt numFmtId="1" formatCode="0"/>
    </dxf>
    <dxf>
      <border>
        <right style="medium">
          <color indexed="64"/>
        </right>
      </border>
    </dxf>
    <dxf>
      <fill>
        <patternFill>
          <bgColor rgb="FF00B050"/>
        </patternFill>
      </fill>
    </dxf>
    <dxf>
      <font>
        <color auto="1"/>
      </font>
    </dxf>
    <dxf>
      <fill>
        <patternFill>
          <bgColor rgb="FF92D050"/>
        </patternFill>
      </fill>
    </dxf>
    <dxf>
      <font>
        <color auto="1"/>
      </font>
    </dxf>
    <dxf>
      <font>
        <color auto="1"/>
      </font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alignment horizontal="left"/>
    </dxf>
    <dxf>
      <alignment horizontal="left"/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font>
        <color auto="1"/>
      </font>
    </dxf>
    <dxf>
      <border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auto="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6"/>
        </patternFill>
      </fill>
    </dxf>
    <dxf>
      <font>
        <color theme="0"/>
      </font>
    </dxf>
    <dxf>
      <fill>
        <patternFill>
          <bgColor rgb="FFFF0000"/>
        </patternFill>
      </fill>
    </dxf>
    <dxf>
      <font>
        <color theme="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family val="2"/>
        <scheme val="minor"/>
      </font>
      <fill>
        <patternFill patternType="solid">
          <fgColor indexed="65"/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0006"/>
        <name val="Calibri"/>
        <family val="2"/>
        <scheme val="minor"/>
      </font>
      <fill>
        <patternFill patternType="solid">
          <fgColor indexed="65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5"/>
          <bgColor rgb="FFC6EFCE"/>
        </patternFill>
      </fill>
    </dxf>
    <dxf>
      <border>
        <left/>
        <right/>
        <top/>
        <vertical/>
      </border>
    </dxf>
    <dxf>
      <border>
        <left/>
        <right/>
        <top/>
        <vertical/>
      </border>
    </dxf>
    <dxf>
      <border>
        <left/>
        <right/>
        <top/>
        <vertical/>
      </border>
    </dxf>
    <dxf>
      <border>
        <left/>
        <right/>
        <top/>
        <vertical/>
      </border>
    </dxf>
    <dxf>
      <border>
        <left/>
        <right/>
        <top/>
        <vertical/>
      </border>
    </dxf>
    <dxf>
      <border>
        <left/>
        <right/>
        <top/>
        <vertical/>
      </border>
    </dxf>
    <dxf>
      <border>
        <left/>
        <right/>
        <bottom/>
        <vertical/>
        <horizontal/>
      </border>
    </dxf>
    <dxf>
      <border>
        <left/>
        <right/>
        <bottom/>
        <vertical/>
        <horizontal/>
      </border>
    </dxf>
    <dxf>
      <font>
        <color auto="1"/>
      </font>
    </dxf>
    <dxf>
      <font>
        <color auto="1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8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</dxf>
    <dxf>
      <alignment horizontal="center"/>
    </dxf>
    <dxf>
      <alignment horizontal="center"/>
    </dxf>
    <dxf>
      <alignment horizontal="center"/>
    </dxf>
    <dxf>
      <alignment vertical="bottom"/>
    </dxf>
    <dxf>
      <alignment vertical="bottom"/>
    </dxf>
    <dxf>
      <alignment vertical="bottom"/>
    </dxf>
    <dxf>
      <alignment horizontal="center"/>
    </dxf>
    <dxf>
      <alignment horizontal="center"/>
    </dxf>
    <dxf>
      <alignment horizontal="center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alignment horizontal="center"/>
    </dxf>
    <dxf>
      <alignment horizontal="center"/>
    </dxf>
    <dxf>
      <alignment horizontal="center"/>
    </dxf>
    <dxf>
      <font>
        <color auto="1"/>
      </font>
    </dxf>
    <dxf>
      <font>
        <color auto="1"/>
      </font>
    </dxf>
    <dxf>
      <border>
        <bottom style="medium">
          <color indexed="64"/>
        </bottom>
      </border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ont>
        <color auto="1"/>
      </font>
    </dxf>
    <dxf>
      <font>
        <color auto="1"/>
      </font>
      <fill>
        <patternFill>
          <fgColor indexed="64"/>
          <bgColor rgb="FF00B050"/>
        </patternFill>
      </fill>
    </dxf>
    <dxf>
      <fill>
        <patternFill>
          <fgColor rgb="FF92D050"/>
        </patternFill>
      </fill>
    </dxf>
    <dxf>
      <font>
        <color auto="1"/>
      </font>
      <fill>
        <patternFill>
          <fgColor indexed="64"/>
          <bgColor rgb="FFFFFF00"/>
        </patternFill>
      </fill>
    </dxf>
    <dxf>
      <font>
        <color auto="1"/>
      </font>
      <fill>
        <patternFill>
          <fgColor indexed="64"/>
          <bgColor rgb="FFFFC000"/>
        </patternFill>
      </fill>
    </dxf>
    <dxf>
      <fill>
        <patternFill>
          <fgColor rgb="FFFF0000"/>
        </patternFill>
      </fill>
    </dxf>
    <dxf>
      <fill>
        <patternFill>
          <fgColor rgb="FFC00000"/>
        </patternFill>
      </fill>
    </dxf>
    <dxf>
      <alignment horizontal="center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>
          <fgColor rgb="FFC00000"/>
        </patternFill>
      </fill>
      <alignment horizontal="left"/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font>
        <color rgb="FFFF0000"/>
      </font>
    </dxf>
    <dxf>
      <alignment horizontal="left"/>
    </dxf>
    <dxf>
      <alignment horizontal="center"/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font>
        <color theme="0"/>
      </font>
      <fill>
        <patternFill>
          <fgColor theme="6"/>
        </patternFill>
      </fill>
    </dxf>
    <dxf>
      <font>
        <color theme="0"/>
      </font>
      <fill>
        <patternFill>
          <fgColor rgb="FFFF0000"/>
        </patternFill>
      </fill>
    </dxf>
    <dxf>
      <font>
        <color theme="4"/>
      </font>
      <fill>
        <patternFill>
          <fgColor theme="9" tint="0.39997558519241921"/>
        </patternFill>
      </fill>
    </dxf>
    <dxf>
      <font>
        <color rgb="FF9C5700"/>
      </font>
      <fill>
        <patternFill>
          <fgColor rgb="FFFFEB9C"/>
        </patternFill>
      </fill>
    </dxf>
    <dxf>
      <font>
        <color rgb="FF9C0006"/>
      </font>
      <fill>
        <patternFill>
          <fgColor rgb="FFFFC7CE"/>
        </patternFill>
      </fill>
    </dxf>
    <dxf>
      <font>
        <color rgb="FF006100"/>
      </font>
      <fill>
        <patternFill>
          <fgColor rgb="FFC6EFCE"/>
        </patternFill>
      </fill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font>
        <color auto="1"/>
      </font>
    </dxf>
    <dxf>
      <font>
        <color auto="1"/>
      </font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theme="0"/>
      </font>
    </dxf>
    <dxf>
      <font>
        <color theme="0"/>
      </font>
    </dxf>
    <dxf>
      <font>
        <color rgb="FFFF0000"/>
      </font>
    </dxf>
    <dxf>
      <font>
        <color rgb="FFFF0000"/>
      </font>
    </dxf>
    <dxf>
      <font>
        <color rgb="FFC00000"/>
      </font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fill>
        <patternFill>
          <bgColor rgb="FF7030A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7" tint="0.39997558519241921"/>
        </patternFill>
      </fill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fill>
        <patternFill>
          <fgColor theme="7" tint="0.39997558519241921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>
          <fgColor theme="7" tint="0.3999755851924192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alignment horizontal="center"/>
    </dxf>
    <dxf>
      <alignment horizontal="center"/>
    </dxf>
    <dxf>
      <alignment horizontal="center"/>
    </dxf>
    <dxf>
      <numFmt numFmtId="2" formatCode="0.0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alignment horizontal="right"/>
    </dxf>
    <dxf>
      <fill>
        <patternFill>
          <bgColor theme="9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7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7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rgb="FFA5A5A5"/>
        </patternFill>
      </fill>
      <border diagonalUp="0" diagonalDown="0" outline="0">
        <left style="double">
          <color rgb="FF3F3F3F"/>
        </left>
        <right style="double">
          <color rgb="FF3F3F3F"/>
        </right>
        <top style="double">
          <color rgb="FF3F3F3F"/>
        </top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rgb="FFA5A5A5"/>
        </patternFill>
      </fill>
      <border diagonalUp="0" diagonalDown="0" outline="0">
        <left style="double">
          <color rgb="FF3F3F3F"/>
        </left>
        <right style="double">
          <color rgb="FF3F3F3F"/>
        </right>
        <top style="double">
          <color rgb="FF3F3F3F"/>
        </top>
        <bottom style="double">
          <color rgb="FF3F3F3F"/>
        </bottom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horizontal="center"/>
    </dxf>
    <dxf>
      <numFmt numFmtId="2" formatCode="0.00"/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fill>
        <patternFill patternType="solid">
          <bgColor rgb="FF7030A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9" tint="0.39997558519241921"/>
        </patternFill>
      </fill>
    </dxf>
    <dxf>
      <alignment horizontal="center"/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fill>
        <patternFill>
          <fgColor theme="9" tint="0.39997558519241921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>
          <fgColor theme="9" tint="0.39997558519241921"/>
        </patternFill>
      </fill>
    </dxf>
    <dxf>
      <fill>
        <patternFill patternType="solid">
          <fgColor theme="7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rgb="FFA5A5A5"/>
        </patternFill>
      </fill>
      <border diagonalUp="0" diagonalDown="0" outline="0">
        <left style="double">
          <color rgb="FF3F3F3F"/>
        </left>
        <right style="double">
          <color rgb="FF3F3F3F"/>
        </right>
        <top style="double">
          <color rgb="FF3F3F3F"/>
        </top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rgb="FFA5A5A5"/>
        </patternFill>
      </fill>
      <border diagonalUp="0" diagonalDown="0" outline="0">
        <left style="double">
          <color rgb="FF3F3F3F"/>
        </left>
        <right style="double">
          <color rgb="FF3F3F3F"/>
        </right>
        <top style="double">
          <color rgb="FF3F3F3F"/>
        </top>
        <bottom style="double">
          <color rgb="FF3F3F3F"/>
        </bottom>
      </border>
    </dxf>
    <dxf>
      <numFmt numFmtId="2" formatCode="0.00"/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fill>
        <patternFill patternType="solid">
          <bgColor rgb="FF7030A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5"/>
          <bgColor rgb="FFC6EFCE"/>
        </patternFill>
      </fill>
    </dxf>
    <dxf>
      <alignment horizontal="center"/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fill>
        <patternFill>
          <fgColor rgb="FFC6EFCE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rgb="FF006100"/>
      </font>
      <fill>
        <patternFill patternType="solid">
          <fgColor rgb="FFC6EF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rgb="FFA5A5A5"/>
        </patternFill>
      </fill>
      <border diagonalUp="0" diagonalDown="0" outline="0">
        <left style="double">
          <color rgb="FF3F3F3F"/>
        </left>
        <right style="double">
          <color rgb="FF3F3F3F"/>
        </right>
        <top style="double">
          <color rgb="FF3F3F3F"/>
        </top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rgb="FFA5A5A5"/>
        </patternFill>
      </fill>
      <border diagonalUp="0" diagonalDown="0" outline="0">
        <left style="double">
          <color rgb="FF3F3F3F"/>
        </left>
        <right style="double">
          <color rgb="FF3F3F3F"/>
        </right>
        <top style="double">
          <color rgb="FF3F3F3F"/>
        </top>
        <bottom style="double">
          <color rgb="FF3F3F3F"/>
        </bottom>
      </border>
    </dxf>
    <dxf>
      <numFmt numFmtId="2" formatCode="0.00"/>
    </dxf>
    <dxf>
      <fill>
        <patternFill patternType="solid"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9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rgb="FFA5A5A5"/>
        </patternFill>
      </fill>
      <border diagonalUp="0" diagonalDown="0" outline="0">
        <left style="double">
          <color rgb="FF3F3F3F"/>
        </left>
        <right style="double">
          <color rgb="FF3F3F3F"/>
        </right>
        <top style="double">
          <color rgb="FF3F3F3F"/>
        </top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rgb="FFA5A5A5"/>
        </patternFill>
      </fill>
      <border diagonalUp="0" diagonalDown="0" outline="0">
        <left style="double">
          <color rgb="FF3F3F3F"/>
        </left>
        <right style="double">
          <color rgb="FF3F3F3F"/>
        </right>
        <top style="double">
          <color rgb="FF3F3F3F"/>
        </top>
        <bottom style="double">
          <color rgb="FF3F3F3F"/>
        </bottom>
      </border>
    </dxf>
    <dxf>
      <numFmt numFmtId="2" formatCode="0.00"/>
    </dxf>
    <dxf>
      <font>
        <color auto="1"/>
      </font>
    </dxf>
    <dxf>
      <font>
        <color auto="1"/>
      </font>
    </dxf>
    <dxf>
      <font>
        <b/>
      </font>
    </dxf>
    <dxf>
      <fill>
        <patternFill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5"/>
          <bgColor rgb="FFC6EF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rgb="FFA5A5A5"/>
        </patternFill>
      </fill>
      <border diagonalUp="0" diagonalDown="0" outline="0">
        <left style="double">
          <color rgb="FF3F3F3F"/>
        </left>
        <right style="double">
          <color rgb="FF3F3F3F"/>
        </right>
        <top style="double">
          <color rgb="FF3F3F3F"/>
        </top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rgb="FFA5A5A5"/>
        </patternFill>
      </fill>
      <border diagonalUp="0" diagonalDown="0" outline="0">
        <left style="double">
          <color rgb="FF3F3F3F"/>
        </left>
        <right style="double">
          <color rgb="FF3F3F3F"/>
        </right>
        <top style="double">
          <color rgb="FF3F3F3F"/>
        </top>
        <bottom style="double">
          <color rgb="FF3F3F3F"/>
        </bottom>
      </border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numFmt numFmtId="2" formatCode="0.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[Student-Performace-Exams.xlsm]Médias!Tabela dinâmica17</c:name>
    <c:fmtId val="5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Médias!$C$8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CF2-483D-9106-17319A236BD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CF2-483D-9106-17319A236B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Médias!$B$9:$B$11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Médias!$C$9:$C$11</c:f>
              <c:numCache>
                <c:formatCode>0.00</c:formatCode>
                <c:ptCount val="2"/>
                <c:pt idx="0">
                  <c:v>64.774390243902445</c:v>
                </c:pt>
                <c:pt idx="1">
                  <c:v>70.75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CF2-483D-9106-17319A236B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8736505493356127"/>
          <c:y val="1.7085910514225366E-2"/>
          <c:w val="0.25806781197401202"/>
          <c:h val="0.149230181072533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[Student-Performace-Exams.xlsm]Médias!Tabela dinâmica11</c:name>
    <c:fmtId val="3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alpha val="88000"/>
            </a:schemeClr>
          </a:solidFill>
          <a:ln>
            <a:solidFill>
              <a:schemeClr val="accent2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2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rgbClr val="C830CC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Médias!$F$8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>
                <a:alpha val="88000"/>
              </a:schemeClr>
            </a:solidFill>
            <a:ln>
              <a:solidFill>
                <a:schemeClr val="accent2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2"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C830CC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Médias!$E$9:$E$13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Médias!$F$9:$F$13</c:f>
              <c:numCache>
                <c:formatCode>0.00</c:formatCode>
                <c:ptCount val="5"/>
                <c:pt idx="0">
                  <c:v>65.696202531645568</c:v>
                </c:pt>
                <c:pt idx="1">
                  <c:v>64.070707070707073</c:v>
                </c:pt>
                <c:pt idx="2">
                  <c:v>65.51083591331269</c:v>
                </c:pt>
                <c:pt idx="3">
                  <c:v>68.879377431906619</c:v>
                </c:pt>
                <c:pt idx="4">
                  <c:v>77.426573426573427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901-43B8-A74D-08994D2196B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244491120"/>
        <c:axId val="244483920"/>
        <c:axId val="0"/>
      </c:bar3DChart>
      <c:catAx>
        <c:axId val="2444911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4483920"/>
        <c:crosses val="autoZero"/>
        <c:auto val="1"/>
        <c:lblAlgn val="ctr"/>
        <c:lblOffset val="100"/>
        <c:noMultiLvlLbl val="0"/>
      </c:catAx>
      <c:valAx>
        <c:axId val="24448392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44491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[Student-Performace-Exams.xlsm]Médias!Tabela dinâmica2</c:name>
    <c:fmtId val="1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Médias!$C$13</c:f>
              <c:strCache>
                <c:ptCount val="1"/>
                <c:pt idx="0">
                  <c:v>Total</c:v>
                </c:pt>
              </c:strCache>
            </c:strRef>
          </c:tx>
          <c:explosion val="2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BC2-420F-B2CC-FF789E0F40CA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BC2-420F-B2CC-FF789E0F40C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Médias!$B$14:$B$16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Médias!$C$14:$C$16</c:f>
              <c:numCache>
                <c:formatCode>0.00</c:formatCode>
                <c:ptCount val="2"/>
                <c:pt idx="0">
                  <c:v>73.473577235772353</c:v>
                </c:pt>
                <c:pt idx="1">
                  <c:v>67.387795275590548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BC2-420F-B2CC-FF789E0F40C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0887978332893756"/>
          <c:y val="1.6941178981555012E-2"/>
          <c:w val="0.4413708843193111"/>
          <c:h val="0.156436669782183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[Student-Performace-Exams.xlsm]Médias!Tabela dinâmica4</c:name>
    <c:fmtId val="1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Médias!$C$18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F23-4D2B-A58D-0D2B5CD0391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F23-4D2B-A58D-0D2B5CD0391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Médias!$B$19:$B$21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Médias!$C$19:$C$21</c:f>
              <c:numCache>
                <c:formatCode>0.00</c:formatCode>
                <c:ptCount val="2"/>
                <c:pt idx="0">
                  <c:v>73.439024390243901</c:v>
                </c:pt>
                <c:pt idx="1">
                  <c:v>64.976377952755911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F23-4D2B-A58D-0D2B5CD0391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0832427134917861"/>
          <c:y val="1.7098079024090117E-2"/>
          <c:w val="0.39730494439617803"/>
          <c:h val="0.152186141984512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[Student-Performace-Exams.xlsm]Médias!Tabela dinâmica5</c:name>
    <c:fmtId val="1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alpha val="88000"/>
            </a:schemeClr>
          </a:solidFill>
          <a:ln>
            <a:solidFill>
              <a:schemeClr val="accent2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2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chemeClr val="accent2">
                <a:alpha val="30000"/>
              </a:schemeClr>
            </a:solidFill>
            <a:ln>
              <a:solidFill>
                <a:schemeClr val="lt1">
                  <a:alpha val="50000"/>
                </a:scheme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35310529991090561"/>
          <c:y val="2.4940302610805432E-2"/>
          <c:w val="0.6456957788533314"/>
          <c:h val="0.93758865248226952"/>
        </c:manualLayout>
      </c:layout>
      <c:bar3DChart>
        <c:barDir val="bar"/>
        <c:grouping val="clustered"/>
        <c:varyColors val="0"/>
        <c:ser>
          <c:idx val="0"/>
          <c:order val="0"/>
          <c:tx>
            <c:strRef>
              <c:f>Médias!$F$16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>
                <a:alpha val="88000"/>
              </a:schemeClr>
            </a:solidFill>
            <a:ln>
              <a:solidFill>
                <a:schemeClr val="accent2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2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2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Médias!$E$17:$E$21</c:f>
              <c:strCache>
                <c:ptCount val="5"/>
                <c:pt idx="0">
                  <c:v>grupo A</c:v>
                </c:pt>
                <c:pt idx="1">
                  <c:v>grupo B</c:v>
                </c:pt>
                <c:pt idx="2">
                  <c:v>grupo C</c:v>
                </c:pt>
                <c:pt idx="3">
                  <c:v>grupo D</c:v>
                </c:pt>
                <c:pt idx="4">
                  <c:v>grupo E</c:v>
                </c:pt>
              </c:strCache>
            </c:strRef>
          </c:cat>
          <c:val>
            <c:numRef>
              <c:f>Médias!$F$17:$F$21</c:f>
              <c:numCache>
                <c:formatCode>0.00</c:formatCode>
                <c:ptCount val="5"/>
                <c:pt idx="0">
                  <c:v>69.202531645569621</c:v>
                </c:pt>
                <c:pt idx="1">
                  <c:v>68.530303030303031</c:v>
                </c:pt>
                <c:pt idx="2">
                  <c:v>68.609907120743031</c:v>
                </c:pt>
                <c:pt idx="3">
                  <c:v>70.929961089494157</c:v>
                </c:pt>
                <c:pt idx="4">
                  <c:v>76.615384615384613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B2-4200-B625-22BA1030B42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346874880"/>
        <c:axId val="346866240"/>
        <c:axId val="0"/>
      </c:bar3DChart>
      <c:catAx>
        <c:axId val="3468748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6866240"/>
        <c:crosses val="autoZero"/>
        <c:auto val="1"/>
        <c:lblAlgn val="ctr"/>
        <c:lblOffset val="100"/>
        <c:noMultiLvlLbl val="0"/>
      </c:catAx>
      <c:valAx>
        <c:axId val="346866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346874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[Student-Performace-Exams.xlsm]Médias!Tabela dinâmica6</c:name>
    <c:fmtId val="1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alpha val="88000"/>
            </a:schemeClr>
          </a:solidFill>
          <a:ln>
            <a:solidFill>
              <a:schemeClr val="accent2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2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chemeClr val="accent2">
                <a:alpha val="30000"/>
              </a:schemeClr>
            </a:solidFill>
            <a:ln>
              <a:solidFill>
                <a:schemeClr val="lt1">
                  <a:alpha val="50000"/>
                </a:scheme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32662955177111747"/>
          <c:y val="3.7690045376440461E-2"/>
          <c:w val="0.67337044822888248"/>
          <c:h val="0.92461990924711912"/>
        </c:manualLayout>
      </c:layout>
      <c:bar3DChart>
        <c:barDir val="bar"/>
        <c:grouping val="clustered"/>
        <c:varyColors val="0"/>
        <c:ser>
          <c:idx val="0"/>
          <c:order val="0"/>
          <c:tx>
            <c:strRef>
              <c:f>Médias!$I$8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>
                <a:alpha val="88000"/>
              </a:schemeClr>
            </a:solidFill>
            <a:ln>
              <a:solidFill>
                <a:schemeClr val="accent2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2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2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Médias!$H$9:$H$13</c:f>
              <c:strCache>
                <c:ptCount val="5"/>
                <c:pt idx="0">
                  <c:v>grupo A</c:v>
                </c:pt>
                <c:pt idx="1">
                  <c:v>grupo B</c:v>
                </c:pt>
                <c:pt idx="2">
                  <c:v>grupo C</c:v>
                </c:pt>
                <c:pt idx="3">
                  <c:v>grupo D</c:v>
                </c:pt>
                <c:pt idx="4">
                  <c:v>grupo E</c:v>
                </c:pt>
              </c:strCache>
            </c:strRef>
          </c:cat>
          <c:val>
            <c:numRef>
              <c:f>Médias!$I$9:$I$13</c:f>
              <c:numCache>
                <c:formatCode>0.00</c:formatCode>
                <c:ptCount val="5"/>
                <c:pt idx="0">
                  <c:v>67.848101265822791</c:v>
                </c:pt>
                <c:pt idx="1">
                  <c:v>66.717171717171723</c:v>
                </c:pt>
                <c:pt idx="2">
                  <c:v>66.804953560371516</c:v>
                </c:pt>
                <c:pt idx="3">
                  <c:v>71.05836575875486</c:v>
                </c:pt>
                <c:pt idx="4">
                  <c:v>75.03496503496504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506-4C8E-9C10-CB6B866FD83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346869600"/>
        <c:axId val="346876320"/>
        <c:axId val="0"/>
      </c:bar3DChart>
      <c:catAx>
        <c:axId val="3468696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6876320"/>
        <c:crosses val="autoZero"/>
        <c:auto val="1"/>
        <c:lblAlgn val="ctr"/>
        <c:lblOffset val="100"/>
        <c:noMultiLvlLbl val="0"/>
      </c:catAx>
      <c:valAx>
        <c:axId val="34687632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346869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[Student-Performace-Exams.xlsm]Proporção!Tabela dinâmica1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layout>
            <c:manualLayout>
              <c:x val="-4.0827005271159567E-2"/>
              <c:y val="0.3720640365618831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908661259994085"/>
                  <c:h val="0.14059510714929346"/>
                </c:manualLayout>
              </c15:layout>
            </c:ext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layout>
            <c:manualLayout>
              <c:x val="1.5702694335061371E-2"/>
              <c:y val="-0.3006578073227339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211927582534611"/>
                  <c:h val="0.20713754603985221"/>
                </c:manualLayout>
              </c15:layout>
            </c:ext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6797243843307391E-2"/>
          <c:y val="0.111356727233235"/>
          <c:w val="0.85615689044118892"/>
          <c:h val="0.84117632958961097"/>
        </c:manualLayout>
      </c:layout>
      <c:pie3DChart>
        <c:varyColors val="1"/>
        <c:ser>
          <c:idx val="0"/>
          <c:order val="0"/>
          <c:tx>
            <c:strRef>
              <c:f>Proporção!$C$3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8-B556-4E86-AA3F-F76F8CF253C2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B556-4E86-AA3F-F76F8CF253C2}"/>
              </c:ext>
            </c:extLst>
          </c:dPt>
          <c:dLbls>
            <c:dLbl>
              <c:idx val="0"/>
              <c:layout>
                <c:manualLayout>
                  <c:x val="-4.0827005271159567E-2"/>
                  <c:y val="0.3720640365618831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908661259994085"/>
                      <c:h val="0.1405951071492934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B556-4E86-AA3F-F76F8CF253C2}"/>
                </c:ext>
              </c:extLst>
            </c:dLbl>
            <c:dLbl>
              <c:idx val="1"/>
              <c:layout>
                <c:manualLayout>
                  <c:x val="1.5702694335061371E-2"/>
                  <c:y val="-0.3006578073227339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211927582534611"/>
                      <c:h val="0.20713754603985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B556-4E86-AA3F-F76F8CF253C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Proporção!$B$4:$B$5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Proporção!$C$4:$C$5</c:f>
              <c:numCache>
                <c:formatCode>General</c:formatCode>
                <c:ptCount val="2"/>
                <c:pt idx="0">
                  <c:v>492</c:v>
                </c:pt>
                <c:pt idx="1">
                  <c:v>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556-4E86-AA3F-F76F8CF253C2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[Student-Performace-Exams.xlsm]Proporção!Tabela dinâmica7</c:name>
    <c:fmtId val="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lt1"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Proporção!$C$7:$C$8</c:f>
              <c:strCache>
                <c:ptCount val="1"/>
                <c:pt idx="0">
                  <c:v>Feminino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1">
                  <a:lumMod val="75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translucentPowder">
              <a:contourClr>
                <a:schemeClr val="accent1">
                  <a:lumMod val="7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Proporção!$B$9:$B$13</c:f>
              <c:strCache>
                <c:ptCount val="5"/>
                <c:pt idx="0">
                  <c:v>grupo A</c:v>
                </c:pt>
                <c:pt idx="1">
                  <c:v>grupo B</c:v>
                </c:pt>
                <c:pt idx="2">
                  <c:v>grupo C</c:v>
                </c:pt>
                <c:pt idx="3">
                  <c:v>grupo D</c:v>
                </c:pt>
                <c:pt idx="4">
                  <c:v>grupo E</c:v>
                </c:pt>
              </c:strCache>
            </c:strRef>
          </c:cat>
          <c:val>
            <c:numRef>
              <c:f>Proporção!$C$9:$C$13</c:f>
              <c:numCache>
                <c:formatCode>General</c:formatCode>
                <c:ptCount val="5"/>
                <c:pt idx="0">
                  <c:v>41</c:v>
                </c:pt>
                <c:pt idx="1">
                  <c:v>112</c:v>
                </c:pt>
                <c:pt idx="2">
                  <c:v>151</c:v>
                </c:pt>
                <c:pt idx="3">
                  <c:v>118</c:v>
                </c:pt>
                <c:pt idx="4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5C6-4A6D-AC29-BC0AA5849F5D}"/>
            </c:ext>
          </c:extLst>
        </c:ser>
        <c:ser>
          <c:idx val="1"/>
          <c:order val="1"/>
          <c:tx>
            <c:strRef>
              <c:f>Proporção!$D$7:$D$8</c:f>
              <c:strCache>
                <c:ptCount val="1"/>
                <c:pt idx="0">
                  <c:v>Masculino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accent3">
                  <a:lumMod val="75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translucentPowder">
              <a:contourClr>
                <a:schemeClr val="accent3">
                  <a:lumMod val="7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Proporção!$B$9:$B$13</c:f>
              <c:strCache>
                <c:ptCount val="5"/>
                <c:pt idx="0">
                  <c:v>grupo A</c:v>
                </c:pt>
                <c:pt idx="1">
                  <c:v>grupo B</c:v>
                </c:pt>
                <c:pt idx="2">
                  <c:v>grupo C</c:v>
                </c:pt>
                <c:pt idx="3">
                  <c:v>grupo D</c:v>
                </c:pt>
                <c:pt idx="4">
                  <c:v>grupo E</c:v>
                </c:pt>
              </c:strCache>
            </c:strRef>
          </c:cat>
          <c:val>
            <c:numRef>
              <c:f>Proporção!$D$9:$D$13</c:f>
              <c:numCache>
                <c:formatCode>General</c:formatCode>
                <c:ptCount val="5"/>
                <c:pt idx="0">
                  <c:v>38</c:v>
                </c:pt>
                <c:pt idx="1">
                  <c:v>86</c:v>
                </c:pt>
                <c:pt idx="2">
                  <c:v>172</c:v>
                </c:pt>
                <c:pt idx="3">
                  <c:v>139</c:v>
                </c:pt>
                <c:pt idx="4">
                  <c:v>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5C6-4A6D-AC29-BC0AA5849F5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845179496"/>
        <c:axId val="845175176"/>
        <c:axId val="0"/>
      </c:bar3DChart>
      <c:catAx>
        <c:axId val="845179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45175176"/>
        <c:crosses val="autoZero"/>
        <c:auto val="1"/>
        <c:lblAlgn val="ctr"/>
        <c:lblOffset val="100"/>
        <c:noMultiLvlLbl val="0"/>
      </c:catAx>
      <c:valAx>
        <c:axId val="845175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45179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[Student-Performace-Exams.xlsm]Proporção!Tabela dinâmica10</c:name>
    <c:fmtId val="2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38100" cap="flat" cmpd="dbl" algn="ctr">
            <a:solidFill>
              <a:schemeClr val="accent1"/>
            </a:solidFill>
            <a:miter lim="800000"/>
          </a:ln>
          <a:effectLst/>
        </c:spPr>
        <c:marker>
          <c:symbol val="circle"/>
          <c:size val="6"/>
          <c:spPr>
            <a:solidFill>
              <a:schemeClr val="accent1"/>
            </a:solidFill>
            <a:ln w="9525" cap="flat" cmpd="sng" algn="ctr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38100" cap="flat" cmpd="dbl" algn="ctr">
            <a:solidFill>
              <a:schemeClr val="accent1"/>
            </a:solidFill>
            <a:miter lim="800000"/>
          </a:ln>
          <a:effectLst/>
        </c:spPr>
        <c:marker>
          <c:symbol val="circle"/>
          <c:size val="6"/>
          <c:spPr>
            <a:solidFill>
              <a:schemeClr val="accent2"/>
            </a:solidFill>
            <a:ln w="9525" cap="flat" cmpd="sng" algn="ctr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38100" cap="flat" cmpd="dbl" algn="ctr">
            <a:solidFill>
              <a:schemeClr val="accent1"/>
            </a:solidFill>
            <a:miter lim="800000"/>
          </a:ln>
          <a:effectLst/>
        </c:spPr>
        <c:marker>
          <c:symbol val="circle"/>
          <c:size val="6"/>
          <c:spPr>
            <a:solidFill>
              <a:schemeClr val="accent3"/>
            </a:solidFill>
            <a:ln w="9525" cap="flat" cmpd="sng" algn="ctr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38100" cap="flat" cmpd="dbl" algn="ctr">
            <a:solidFill>
              <a:schemeClr val="accent1"/>
            </a:solidFill>
            <a:miter lim="800000"/>
          </a:ln>
          <a:effectLst/>
        </c:spPr>
        <c:marker>
          <c:symbol val="circle"/>
          <c:size val="6"/>
          <c:spPr>
            <a:solidFill>
              <a:schemeClr val="accent4"/>
            </a:solidFill>
            <a:ln w="9525" cap="flat" cmpd="sng" algn="ctr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38100" cap="flat" cmpd="dbl" algn="ctr">
            <a:solidFill>
              <a:schemeClr val="accent1"/>
            </a:solidFill>
            <a:miter lim="800000"/>
          </a:ln>
          <a:effectLst/>
        </c:spPr>
        <c:marker>
          <c:symbol val="circle"/>
          <c:size val="6"/>
          <c:spPr>
            <a:solidFill>
              <a:schemeClr val="accent5"/>
            </a:solidFill>
            <a:ln w="9525" cap="flat" cmpd="sng" algn="ctr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Proporção!$H$3:$H$4</c:f>
              <c:strCache>
                <c:ptCount val="1"/>
                <c:pt idx="0">
                  <c:v>grupo A</c:v>
                </c:pt>
              </c:strCache>
            </c:strRef>
          </c:tx>
          <c:spPr>
            <a:ln w="38100" cap="flat" cmpd="dbl" algn="ctr">
              <a:solidFill>
                <a:schemeClr val="accent1"/>
              </a:solidFill>
              <a:miter lim="800000"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 cap="flat" cmpd="sng" algn="ctr">
                <a:solidFill>
                  <a:schemeClr val="l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Proporção!$G$5:$G$10</c:f>
              <c:strCache>
                <c:ptCount val="6"/>
                <c:pt idx="0">
                  <c:v>associado (supletivo)</c:v>
                </c:pt>
                <c:pt idx="1">
                  <c:v>ensino incompleto</c:v>
                </c:pt>
                <c:pt idx="2">
                  <c:v>ensino médio</c:v>
                </c:pt>
                <c:pt idx="3">
                  <c:v>graduação incompleta</c:v>
                </c:pt>
                <c:pt idx="4">
                  <c:v>grau de bacharelado</c:v>
                </c:pt>
                <c:pt idx="5">
                  <c:v>grau de mestrado</c:v>
                </c:pt>
              </c:strCache>
            </c:strRef>
          </c:cat>
          <c:val>
            <c:numRef>
              <c:f>Proporção!$H$5:$H$10</c:f>
              <c:numCache>
                <c:formatCode>General</c:formatCode>
                <c:ptCount val="6"/>
                <c:pt idx="0">
                  <c:v>21</c:v>
                </c:pt>
                <c:pt idx="1">
                  <c:v>15</c:v>
                </c:pt>
                <c:pt idx="2">
                  <c:v>20</c:v>
                </c:pt>
                <c:pt idx="3">
                  <c:v>15</c:v>
                </c:pt>
                <c:pt idx="4">
                  <c:v>4</c:v>
                </c:pt>
                <c:pt idx="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BBA-4754-B3BC-7C2F08008C50}"/>
            </c:ext>
          </c:extLst>
        </c:ser>
        <c:ser>
          <c:idx val="1"/>
          <c:order val="1"/>
          <c:tx>
            <c:strRef>
              <c:f>Proporção!$I$3:$I$4</c:f>
              <c:strCache>
                <c:ptCount val="1"/>
                <c:pt idx="0">
                  <c:v>grupo B</c:v>
                </c:pt>
              </c:strCache>
            </c:strRef>
          </c:tx>
          <c:spPr>
            <a:ln w="38100" cap="flat" cmpd="dbl" algn="ctr">
              <a:solidFill>
                <a:schemeClr val="accent2"/>
              </a:solidFill>
              <a:miter lim="800000"/>
            </a:ln>
            <a:effectLst/>
          </c:spPr>
          <c:marker>
            <c:symbol val="circle"/>
            <c:size val="6"/>
            <c:spPr>
              <a:solidFill>
                <a:schemeClr val="accent2"/>
              </a:solidFill>
              <a:ln w="9525" cap="flat" cmpd="sng" algn="ctr">
                <a:solidFill>
                  <a:schemeClr val="l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Proporção!$G$5:$G$10</c:f>
              <c:strCache>
                <c:ptCount val="6"/>
                <c:pt idx="0">
                  <c:v>associado (supletivo)</c:v>
                </c:pt>
                <c:pt idx="1">
                  <c:v>ensino incompleto</c:v>
                </c:pt>
                <c:pt idx="2">
                  <c:v>ensino médio</c:v>
                </c:pt>
                <c:pt idx="3">
                  <c:v>graduação incompleta</c:v>
                </c:pt>
                <c:pt idx="4">
                  <c:v>grau de bacharelado</c:v>
                </c:pt>
                <c:pt idx="5">
                  <c:v>grau de mestrado</c:v>
                </c:pt>
              </c:strCache>
            </c:strRef>
          </c:cat>
          <c:val>
            <c:numRef>
              <c:f>Proporção!$I$5:$I$10</c:f>
              <c:numCache>
                <c:formatCode>General</c:formatCode>
                <c:ptCount val="6"/>
                <c:pt idx="0">
                  <c:v>41</c:v>
                </c:pt>
                <c:pt idx="1">
                  <c:v>33</c:v>
                </c:pt>
                <c:pt idx="2">
                  <c:v>43</c:v>
                </c:pt>
                <c:pt idx="3">
                  <c:v>40</c:v>
                </c:pt>
                <c:pt idx="4">
                  <c:v>27</c:v>
                </c:pt>
                <c:pt idx="5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BBA-4754-B3BC-7C2F08008C50}"/>
            </c:ext>
          </c:extLst>
        </c:ser>
        <c:ser>
          <c:idx val="2"/>
          <c:order val="2"/>
          <c:tx>
            <c:strRef>
              <c:f>Proporção!$J$3:$J$4</c:f>
              <c:strCache>
                <c:ptCount val="1"/>
                <c:pt idx="0">
                  <c:v>grupo C</c:v>
                </c:pt>
              </c:strCache>
            </c:strRef>
          </c:tx>
          <c:spPr>
            <a:ln w="38100" cap="flat" cmpd="dbl" algn="ctr">
              <a:solidFill>
                <a:schemeClr val="accent3"/>
              </a:solidFill>
              <a:miter lim="800000"/>
            </a:ln>
            <a:effectLst/>
          </c:spPr>
          <c:marker>
            <c:symbol val="circle"/>
            <c:size val="6"/>
            <c:spPr>
              <a:solidFill>
                <a:schemeClr val="accent3"/>
              </a:solidFill>
              <a:ln w="9525" cap="flat" cmpd="sng" algn="ctr">
                <a:solidFill>
                  <a:schemeClr val="l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Proporção!$G$5:$G$10</c:f>
              <c:strCache>
                <c:ptCount val="6"/>
                <c:pt idx="0">
                  <c:v>associado (supletivo)</c:v>
                </c:pt>
                <c:pt idx="1">
                  <c:v>ensino incompleto</c:v>
                </c:pt>
                <c:pt idx="2">
                  <c:v>ensino médio</c:v>
                </c:pt>
                <c:pt idx="3">
                  <c:v>graduação incompleta</c:v>
                </c:pt>
                <c:pt idx="4">
                  <c:v>grau de bacharelado</c:v>
                </c:pt>
                <c:pt idx="5">
                  <c:v>grau de mestrado</c:v>
                </c:pt>
              </c:strCache>
            </c:strRef>
          </c:cat>
          <c:val>
            <c:numRef>
              <c:f>Proporção!$J$5:$J$10</c:f>
              <c:numCache>
                <c:formatCode>General</c:formatCode>
                <c:ptCount val="6"/>
                <c:pt idx="0">
                  <c:v>59</c:v>
                </c:pt>
                <c:pt idx="1">
                  <c:v>51</c:v>
                </c:pt>
                <c:pt idx="2">
                  <c:v>74</c:v>
                </c:pt>
                <c:pt idx="3">
                  <c:v>79</c:v>
                </c:pt>
                <c:pt idx="4">
                  <c:v>35</c:v>
                </c:pt>
                <c:pt idx="5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BBA-4754-B3BC-7C2F08008C50}"/>
            </c:ext>
          </c:extLst>
        </c:ser>
        <c:ser>
          <c:idx val="3"/>
          <c:order val="3"/>
          <c:tx>
            <c:strRef>
              <c:f>Proporção!$K$3:$K$4</c:f>
              <c:strCache>
                <c:ptCount val="1"/>
                <c:pt idx="0">
                  <c:v>grupo D</c:v>
                </c:pt>
              </c:strCache>
            </c:strRef>
          </c:tx>
          <c:spPr>
            <a:ln w="38100" cap="flat" cmpd="dbl" algn="ctr">
              <a:solidFill>
                <a:schemeClr val="accent4"/>
              </a:solidFill>
              <a:miter lim="800000"/>
            </a:ln>
            <a:effectLst/>
          </c:spPr>
          <c:marker>
            <c:symbol val="circle"/>
            <c:size val="6"/>
            <c:spPr>
              <a:solidFill>
                <a:schemeClr val="accent4"/>
              </a:solidFill>
              <a:ln w="9525" cap="flat" cmpd="sng" algn="ctr">
                <a:solidFill>
                  <a:schemeClr val="l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Proporção!$G$5:$G$10</c:f>
              <c:strCache>
                <c:ptCount val="6"/>
                <c:pt idx="0">
                  <c:v>associado (supletivo)</c:v>
                </c:pt>
                <c:pt idx="1">
                  <c:v>ensino incompleto</c:v>
                </c:pt>
                <c:pt idx="2">
                  <c:v>ensino médio</c:v>
                </c:pt>
                <c:pt idx="3">
                  <c:v>graduação incompleta</c:v>
                </c:pt>
                <c:pt idx="4">
                  <c:v>grau de bacharelado</c:v>
                </c:pt>
                <c:pt idx="5">
                  <c:v>grau de mestrado</c:v>
                </c:pt>
              </c:strCache>
            </c:strRef>
          </c:cat>
          <c:val>
            <c:numRef>
              <c:f>Proporção!$K$5:$K$10</c:f>
              <c:numCache>
                <c:formatCode>General</c:formatCode>
                <c:ptCount val="6"/>
                <c:pt idx="0">
                  <c:v>59</c:v>
                </c:pt>
                <c:pt idx="1">
                  <c:v>52</c:v>
                </c:pt>
                <c:pt idx="2">
                  <c:v>46</c:v>
                </c:pt>
                <c:pt idx="3">
                  <c:v>55</c:v>
                </c:pt>
                <c:pt idx="4">
                  <c:v>25</c:v>
                </c:pt>
                <c:pt idx="5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FBBA-4754-B3BC-7C2F08008C50}"/>
            </c:ext>
          </c:extLst>
        </c:ser>
        <c:ser>
          <c:idx val="4"/>
          <c:order val="4"/>
          <c:tx>
            <c:strRef>
              <c:f>Proporção!$L$3:$L$4</c:f>
              <c:strCache>
                <c:ptCount val="1"/>
                <c:pt idx="0">
                  <c:v>grupo E</c:v>
                </c:pt>
              </c:strCache>
            </c:strRef>
          </c:tx>
          <c:spPr>
            <a:ln w="38100" cap="flat" cmpd="dbl" algn="ctr">
              <a:solidFill>
                <a:schemeClr val="accent5"/>
              </a:solidFill>
              <a:miter lim="800000"/>
            </a:ln>
            <a:effectLst/>
          </c:spPr>
          <c:marker>
            <c:symbol val="circle"/>
            <c:size val="6"/>
            <c:spPr>
              <a:solidFill>
                <a:schemeClr val="accent5"/>
              </a:solidFill>
              <a:ln w="9525" cap="flat" cmpd="sng" algn="ctr">
                <a:solidFill>
                  <a:schemeClr val="l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Proporção!$G$5:$G$10</c:f>
              <c:strCache>
                <c:ptCount val="6"/>
                <c:pt idx="0">
                  <c:v>associado (supletivo)</c:v>
                </c:pt>
                <c:pt idx="1">
                  <c:v>ensino incompleto</c:v>
                </c:pt>
                <c:pt idx="2">
                  <c:v>ensino médio</c:v>
                </c:pt>
                <c:pt idx="3">
                  <c:v>graduação incompleta</c:v>
                </c:pt>
                <c:pt idx="4">
                  <c:v>grau de bacharelado</c:v>
                </c:pt>
                <c:pt idx="5">
                  <c:v>grau de mestrado</c:v>
                </c:pt>
              </c:strCache>
            </c:strRef>
          </c:cat>
          <c:val>
            <c:numRef>
              <c:f>Proporção!$L$5:$L$10</c:f>
              <c:numCache>
                <c:formatCode>General</c:formatCode>
                <c:ptCount val="6"/>
                <c:pt idx="0">
                  <c:v>24</c:v>
                </c:pt>
                <c:pt idx="1">
                  <c:v>26</c:v>
                </c:pt>
                <c:pt idx="2">
                  <c:v>32</c:v>
                </c:pt>
                <c:pt idx="3">
                  <c:v>35</c:v>
                </c:pt>
                <c:pt idx="4">
                  <c:v>14</c:v>
                </c:pt>
                <c:pt idx="5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BBA-4754-B3BC-7C2F08008C5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22512568"/>
        <c:axId val="522510408"/>
      </c:lineChart>
      <c:catAx>
        <c:axId val="522512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2510408"/>
        <c:crosses val="autoZero"/>
        <c:auto val="1"/>
        <c:lblAlgn val="ctr"/>
        <c:lblOffset val="100"/>
        <c:noMultiLvlLbl val="0"/>
      </c:catAx>
      <c:valAx>
        <c:axId val="52251040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22512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[Student-Performace-Exams.xlsm]Tabela Filtrada!Tabela Gênero</c:name>
    <c:fmtId val="3"/>
  </c:pivotSource>
  <c:chart>
    <c:autoTitleDeleted val="1"/>
    <c:pivotFmts>
      <c:pivotFmt>
        <c:idx val="0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 Filtrada'!$C$3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12C-4855-99F1-DB3ED9B726B1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3EF-4280-8B0A-98BBD1EB6CE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 Filtrada'!$B$4:$B$6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'Tabela Filtrada'!$C$4:$C$6</c:f>
              <c:numCache>
                <c:formatCode>General</c:formatCode>
                <c:ptCount val="2"/>
                <c:pt idx="0">
                  <c:v>492</c:v>
                </c:pt>
                <c:pt idx="1">
                  <c:v>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96D-43FC-9690-A3036460500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/>
      </a:fgClr>
      <a:bgClr>
        <a:schemeClr val="dk1">
          <a:lumMod val="10000"/>
          <a:lumOff val="90000"/>
        </a:schemeClr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[Student-Performace-Exams.xlsm]Tabela Filtrada!Tabela Raça/Etnia</c:name>
    <c:fmtId val="1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6.879541373117834E-2"/>
          <c:y val="5.8361391694725026E-2"/>
          <c:w val="0.70438596491228067"/>
          <c:h val="0.90123456790123457"/>
        </c:manualLayout>
      </c:layout>
      <c:pieChart>
        <c:varyColors val="1"/>
        <c:ser>
          <c:idx val="0"/>
          <c:order val="0"/>
          <c:tx>
            <c:strRef>
              <c:f>'Tabela Filtrada'!$F$3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732-4264-ACDF-A499D3110772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732-4264-ACDF-A499D3110772}"/>
              </c:ext>
            </c:extLst>
          </c:dPt>
          <c:dPt>
            <c:idx val="2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732-4264-ACDF-A499D3110772}"/>
              </c:ext>
            </c:extLst>
          </c:dPt>
          <c:dPt>
            <c:idx val="3"/>
            <c:bubble3D val="0"/>
            <c: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732-4264-ACDF-A499D3110772}"/>
              </c:ext>
            </c:extLst>
          </c:dPt>
          <c:dPt>
            <c:idx val="4"/>
            <c:bubble3D val="0"/>
            <c:spPr>
              <a:gradFill>
                <a:gsLst>
                  <a:gs pos="100000">
                    <a:schemeClr val="accent5">
                      <a:lumMod val="60000"/>
                      <a:lumOff val="40000"/>
                    </a:schemeClr>
                  </a:gs>
                  <a:gs pos="0">
                    <a:schemeClr val="accent5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732-4264-ACDF-A499D311077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 Filtrada'!$E$4:$E$8</c:f>
              <c:strCache>
                <c:ptCount val="5"/>
                <c:pt idx="0">
                  <c:v>grupo A</c:v>
                </c:pt>
                <c:pt idx="1">
                  <c:v>grupo B</c:v>
                </c:pt>
                <c:pt idx="2">
                  <c:v>grupo C</c:v>
                </c:pt>
                <c:pt idx="3">
                  <c:v>grupo D</c:v>
                </c:pt>
                <c:pt idx="4">
                  <c:v>grupo E</c:v>
                </c:pt>
              </c:strCache>
            </c:strRef>
          </c:cat>
          <c:val>
            <c:numRef>
              <c:f>'Tabela Filtrada'!$F$4:$F$8</c:f>
              <c:numCache>
                <c:formatCode>General</c:formatCode>
                <c:ptCount val="5"/>
                <c:pt idx="0">
                  <c:v>79</c:v>
                </c:pt>
                <c:pt idx="1">
                  <c:v>198</c:v>
                </c:pt>
                <c:pt idx="2">
                  <c:v>323</c:v>
                </c:pt>
                <c:pt idx="3">
                  <c:v>257</c:v>
                </c:pt>
                <c:pt idx="4">
                  <c:v>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732-4264-ACDF-A499D311077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/>
      </a:fgClr>
      <a:bgClr>
        <a:schemeClr val="dk1">
          <a:lumMod val="10000"/>
          <a:lumOff val="90000"/>
        </a:schemeClr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2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>
            <a:lumMod val="75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>
            <a:lumMod val="75000"/>
          </a:schemeClr>
        </a:solidFill>
      </a:ln>
      <a:scene3d>
        <a:camera prst="orthographicFront"/>
        <a:lightRig rig="threePt" dir="t"/>
      </a:scene3d>
      <a:sp3d prstMaterial="translucentPowder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  <a:ln>
        <a:solidFill>
          <a:schemeClr val="phClr">
            <a:lumMod val="7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lt1"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95674</xdr:colOff>
      <xdr:row>1</xdr:row>
      <xdr:rowOff>26670</xdr:rowOff>
    </xdr:from>
    <xdr:to>
      <xdr:col>8</xdr:col>
      <xdr:colOff>742739</xdr:colOff>
      <xdr:row>4</xdr:row>
      <xdr:rowOff>45721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Curso de preparação para o teste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urso de preparação para o tes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755554" y="26670"/>
              <a:ext cx="1942465" cy="94107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985309</xdr:colOff>
      <xdr:row>1</xdr:row>
      <xdr:rowOff>28575</xdr:rowOff>
    </xdr:from>
    <xdr:to>
      <xdr:col>4</xdr:col>
      <xdr:colOff>322157</xdr:colOff>
      <xdr:row>4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Lanche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anch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95009" y="219075"/>
              <a:ext cx="1826683" cy="952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4</xdr:row>
          <xdr:rowOff>9525</xdr:rowOff>
        </xdr:from>
        <xdr:to>
          <xdr:col>10</xdr:col>
          <xdr:colOff>1657350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80"/>
                  </a:solidFill>
                  <a:latin typeface="Calibri"/>
                  <a:ea typeface="Calibri"/>
                  <a:cs typeface="Calibri"/>
                </a:rPr>
                <a:t>Matemática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7</xdr:row>
          <xdr:rowOff>28575</xdr:rowOff>
        </xdr:from>
        <xdr:to>
          <xdr:col>10</xdr:col>
          <xdr:colOff>1638300</xdr:colOff>
          <xdr:row>9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Leitura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10</xdr:row>
          <xdr:rowOff>19050</xdr:rowOff>
        </xdr:from>
        <xdr:to>
          <xdr:col>10</xdr:col>
          <xdr:colOff>1657350</xdr:colOff>
          <xdr:row>12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Escrita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15</xdr:row>
          <xdr:rowOff>19050</xdr:rowOff>
        </xdr:from>
        <xdr:to>
          <xdr:col>10</xdr:col>
          <xdr:colOff>1657350</xdr:colOff>
          <xdr:row>19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800000"/>
                  </a:solidFill>
                  <a:latin typeface="Arial"/>
                  <a:cs typeface="Arial"/>
                </a:rPr>
                <a:t>Ir Proporção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607218</xdr:colOff>
      <xdr:row>2</xdr:row>
      <xdr:rowOff>7145</xdr:rowOff>
    </xdr:from>
    <xdr:to>
      <xdr:col>6</xdr:col>
      <xdr:colOff>873917</xdr:colOff>
      <xdr:row>24</xdr:row>
      <xdr:rowOff>0</xdr:rowOff>
    </xdr:to>
    <xdr:graphicFrame macro="">
      <xdr:nvGraphicFramePr>
        <xdr:cNvPr id="8" name="Gráfico 8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11643</xdr:colOff>
      <xdr:row>1</xdr:row>
      <xdr:rowOff>208491</xdr:rowOff>
    </xdr:from>
    <xdr:to>
      <xdr:col>17</xdr:col>
      <xdr:colOff>2</xdr:colOff>
      <xdr:row>23</xdr:row>
      <xdr:rowOff>285749</xdr:rowOff>
    </xdr:to>
    <xdr:graphicFrame macro="">
      <xdr:nvGraphicFramePr>
        <xdr:cNvPr id="9" name="Gráfico 9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10583</xdr:colOff>
      <xdr:row>2</xdr:row>
      <xdr:rowOff>10582</xdr:rowOff>
    </xdr:from>
    <xdr:to>
      <xdr:col>23</xdr:col>
      <xdr:colOff>592666</xdr:colOff>
      <xdr:row>24</xdr:row>
      <xdr:rowOff>201082</xdr:rowOff>
    </xdr:to>
    <xdr:graphicFrame macro="">
      <xdr:nvGraphicFramePr>
        <xdr:cNvPr id="12" name="Gráfico 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35</xdr:col>
      <xdr:colOff>10583</xdr:colOff>
      <xdr:row>2</xdr:row>
      <xdr:rowOff>9525</xdr:rowOff>
    </xdr:from>
    <xdr:to>
      <xdr:col>40</xdr:col>
      <xdr:colOff>582083</xdr:colOff>
      <xdr:row>24</xdr:row>
      <xdr:rowOff>190500</xdr:rowOff>
    </xdr:to>
    <xdr:graphicFrame macro="">
      <xdr:nvGraphicFramePr>
        <xdr:cNvPr id="17" name="Gráfico 2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11907</xdr:colOff>
      <xdr:row>2</xdr:row>
      <xdr:rowOff>2</xdr:rowOff>
    </xdr:from>
    <xdr:to>
      <xdr:col>33</xdr:col>
      <xdr:colOff>485775</xdr:colOff>
      <xdr:row>23</xdr:row>
      <xdr:rowOff>285750</xdr:rowOff>
    </xdr:to>
    <xdr:graphicFrame macro="">
      <xdr:nvGraphicFramePr>
        <xdr:cNvPr id="18" name="Gráfico 6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43</xdr:col>
      <xdr:colOff>21168</xdr:colOff>
      <xdr:row>2</xdr:row>
      <xdr:rowOff>20107</xdr:rowOff>
    </xdr:from>
    <xdr:to>
      <xdr:col>50</xdr:col>
      <xdr:colOff>428626</xdr:colOff>
      <xdr:row>24</xdr:row>
      <xdr:rowOff>0</xdr:rowOff>
    </xdr:to>
    <xdr:graphicFrame macro="">
      <xdr:nvGraphicFramePr>
        <xdr:cNvPr id="19" name="Gráfico 7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19050</xdr:rowOff>
        </xdr:from>
        <xdr:to>
          <xdr:col>0</xdr:col>
          <xdr:colOff>561975</xdr:colOff>
          <xdr:row>1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↩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266700</xdr:colOff>
      <xdr:row>10</xdr:row>
      <xdr:rowOff>47625</xdr:rowOff>
    </xdr:from>
    <xdr:to>
      <xdr:col>12</xdr:col>
      <xdr:colOff>647700</xdr:colOff>
      <xdr:row>15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Lanche 1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anch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191500" y="2181225"/>
              <a:ext cx="1826683" cy="952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276225</xdr:colOff>
      <xdr:row>15</xdr:row>
      <xdr:rowOff>142875</xdr:rowOff>
    </xdr:from>
    <xdr:to>
      <xdr:col>12</xdr:col>
      <xdr:colOff>671830</xdr:colOff>
      <xdr:row>20</xdr:row>
      <xdr:rowOff>95251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Curso de preparação para o teste 1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urso de preparação para o tes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01025" y="3276600"/>
              <a:ext cx="1908175" cy="9525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oneCellAnchor>
    <xdr:from>
      <xdr:col>11</xdr:col>
      <xdr:colOff>104775</xdr:colOff>
      <xdr:row>19</xdr:row>
      <xdr:rowOff>142875</xdr:rowOff>
    </xdr:from>
    <xdr:ext cx="184731" cy="26456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067800" y="39338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28575</xdr:rowOff>
        </xdr:from>
        <xdr:to>
          <xdr:col>14</xdr:col>
          <xdr:colOff>1676400</xdr:colOff>
          <xdr:row>5</xdr:row>
          <xdr:rowOff>171450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1800" b="1" i="0" u="none" strike="noStrike" baseline="0">
                  <a:solidFill>
                    <a:srgbClr val="333399"/>
                  </a:solidFill>
                  <a:latin typeface="Arial"/>
                  <a:cs typeface="Arial"/>
                </a:rPr>
                <a:t>Gênero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6</xdr:row>
          <xdr:rowOff>9525</xdr:rowOff>
        </xdr:from>
        <xdr:to>
          <xdr:col>14</xdr:col>
          <xdr:colOff>1666875</xdr:colOff>
          <xdr:row>8</xdr:row>
          <xdr:rowOff>161925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1800" b="1" i="0" u="none" strike="noStrike" baseline="0">
                  <a:solidFill>
                    <a:srgbClr val="FF00FF"/>
                  </a:solidFill>
                  <a:latin typeface="Arial"/>
                  <a:cs typeface="Arial"/>
                </a:rPr>
                <a:t>Raça/Etnia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9</xdr:row>
          <xdr:rowOff>19050</xdr:rowOff>
        </xdr:from>
        <xdr:to>
          <xdr:col>14</xdr:col>
          <xdr:colOff>1657350</xdr:colOff>
          <xdr:row>11</xdr:row>
          <xdr:rowOff>171450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1800" b="1" i="0" u="none" strike="noStrike" baseline="0">
                  <a:solidFill>
                    <a:srgbClr val="00FF00"/>
                  </a:solidFill>
                  <a:latin typeface="Arial"/>
                  <a:cs typeface="Arial"/>
                </a:rPr>
                <a:t>Formação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14</xdr:row>
          <xdr:rowOff>19050</xdr:rowOff>
        </xdr:from>
        <xdr:to>
          <xdr:col>14</xdr:col>
          <xdr:colOff>1676400</xdr:colOff>
          <xdr:row>18</xdr:row>
          <xdr:rowOff>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993300"/>
                  </a:solidFill>
                  <a:latin typeface="Arial"/>
                  <a:cs typeface="Arial"/>
                </a:rPr>
                <a:t>Voltar Médias</a:t>
              </a:r>
            </a:p>
          </xdr:txBody>
        </xdr:sp>
        <xdr:clientData fPrintsWithSheet="0"/>
      </xdr:twoCellAnchor>
    </mc:Choice>
    <mc:Fallback/>
  </mc:AlternateContent>
  <xdr:oneCellAnchor>
    <xdr:from>
      <xdr:col>12</xdr:col>
      <xdr:colOff>447675</xdr:colOff>
      <xdr:row>18</xdr:row>
      <xdr:rowOff>66675</xdr:rowOff>
    </xdr:from>
    <xdr:ext cx="184731" cy="26456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1027747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18</xdr:row>
          <xdr:rowOff>19050</xdr:rowOff>
        </xdr:from>
        <xdr:to>
          <xdr:col>14</xdr:col>
          <xdr:colOff>1685925</xdr:colOff>
          <xdr:row>20</xdr:row>
          <xdr:rowOff>180975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Ir Filtragem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2</xdr:row>
      <xdr:rowOff>21167</xdr:rowOff>
    </xdr:from>
    <xdr:to>
      <xdr:col>6</xdr:col>
      <xdr:colOff>677333</xdr:colOff>
      <xdr:row>19</xdr:row>
      <xdr:rowOff>161924</xdr:rowOff>
    </xdr:to>
    <xdr:graphicFrame macro="">
      <xdr:nvGraphicFramePr>
        <xdr:cNvPr id="2" name="Gráfico 4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19049</xdr:colOff>
      <xdr:row>2</xdr:row>
      <xdr:rowOff>14286</xdr:rowOff>
    </xdr:from>
    <xdr:to>
      <xdr:col>13</xdr:col>
      <xdr:colOff>571501</xdr:colOff>
      <xdr:row>19</xdr:row>
      <xdr:rowOff>190500</xdr:rowOff>
    </xdr:to>
    <xdr:graphicFrame macro="">
      <xdr:nvGraphicFramePr>
        <xdr:cNvPr id="4" name="Gráfico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31748</xdr:colOff>
      <xdr:row>2</xdr:row>
      <xdr:rowOff>10053</xdr:rowOff>
    </xdr:from>
    <xdr:to>
      <xdr:col>20</xdr:col>
      <xdr:colOff>990600</xdr:colOff>
      <xdr:row>19</xdr:row>
      <xdr:rowOff>179916</xdr:rowOff>
    </xdr:to>
    <xdr:graphicFrame macro="">
      <xdr:nvGraphicFramePr>
        <xdr:cNvPr id="6" name="Gráfico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28575</xdr:rowOff>
        </xdr:from>
        <xdr:to>
          <xdr:col>0</xdr:col>
          <xdr:colOff>609600</xdr:colOff>
          <xdr:row>2</xdr:row>
          <xdr:rowOff>123825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pt-BR" sz="2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↩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</xdr:row>
          <xdr:rowOff>57150</xdr:rowOff>
        </xdr:from>
        <xdr:to>
          <xdr:col>1</xdr:col>
          <xdr:colOff>581025</xdr:colOff>
          <xdr:row>3</xdr:row>
          <xdr:rowOff>123825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</xdr:row>
          <xdr:rowOff>57150</xdr:rowOff>
        </xdr:from>
        <xdr:to>
          <xdr:col>2</xdr:col>
          <xdr:colOff>1666875</xdr:colOff>
          <xdr:row>3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Maiores Notas</a:t>
              </a:r>
            </a:p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Notas Máximas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962025</xdr:colOff>
          <xdr:row>2</xdr:row>
          <xdr:rowOff>66675</xdr:rowOff>
        </xdr:from>
        <xdr:to>
          <xdr:col>8</xdr:col>
          <xdr:colOff>1228725</xdr:colOff>
          <xdr:row>3</xdr:row>
          <xdr:rowOff>133350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Situação Crítica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2</xdr:row>
          <xdr:rowOff>76200</xdr:rowOff>
        </xdr:from>
        <xdr:to>
          <xdr:col>5</xdr:col>
          <xdr:colOff>714375</xdr:colOff>
          <xdr:row>3</xdr:row>
          <xdr:rowOff>133350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Aprovados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866775</xdr:colOff>
          <xdr:row>2</xdr:row>
          <xdr:rowOff>66675</xdr:rowOff>
        </xdr:from>
        <xdr:to>
          <xdr:col>6</xdr:col>
          <xdr:colOff>371475</xdr:colOff>
          <xdr:row>3</xdr:row>
          <xdr:rowOff>133350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Reprovados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476250</xdr:colOff>
          <xdr:row>2</xdr:row>
          <xdr:rowOff>76200</xdr:rowOff>
        </xdr:from>
        <xdr:to>
          <xdr:col>7</xdr:col>
          <xdr:colOff>866775</xdr:colOff>
          <xdr:row>3</xdr:row>
          <xdr:rowOff>133350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5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Situação Favorável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3</xdr:row>
          <xdr:rowOff>9525</xdr:rowOff>
        </xdr:from>
        <xdr:to>
          <xdr:col>11</xdr:col>
          <xdr:colOff>619125</xdr:colOff>
          <xdr:row>4</xdr:row>
          <xdr:rowOff>161925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5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66CC"/>
                  </a:solidFill>
                  <a:latin typeface="Arial"/>
                  <a:cs typeface="Arial"/>
                </a:rPr>
                <a:t>Gênero Filtrado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5</xdr:row>
          <xdr:rowOff>9525</xdr:rowOff>
        </xdr:from>
        <xdr:to>
          <xdr:col>11</xdr:col>
          <xdr:colOff>600075</xdr:colOff>
          <xdr:row>7</xdr:row>
          <xdr:rowOff>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FF00FF"/>
                  </a:solidFill>
                  <a:latin typeface="Arial"/>
                  <a:cs typeface="Arial"/>
                </a:rPr>
                <a:t>Raça Filtrado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9</xdr:row>
          <xdr:rowOff>19050</xdr:rowOff>
        </xdr:from>
        <xdr:to>
          <xdr:col>11</xdr:col>
          <xdr:colOff>600075</xdr:colOff>
          <xdr:row>10</xdr:row>
          <xdr:rowOff>161925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5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800000"/>
                  </a:solidFill>
                  <a:latin typeface="Arial"/>
                  <a:cs typeface="Arial"/>
                </a:rPr>
                <a:t>Voltar Proporção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7</xdr:row>
          <xdr:rowOff>19050</xdr:rowOff>
        </xdr:from>
        <xdr:to>
          <xdr:col>11</xdr:col>
          <xdr:colOff>600075</xdr:colOff>
          <xdr:row>8</xdr:row>
          <xdr:rowOff>161925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5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Tabela Filtrada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19050</xdr:rowOff>
        </xdr:from>
        <xdr:to>
          <xdr:col>2</xdr:col>
          <xdr:colOff>657225</xdr:colOff>
          <xdr:row>11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 Filtragem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2</xdr:row>
      <xdr:rowOff>9525</xdr:rowOff>
    </xdr:from>
    <xdr:to>
      <xdr:col>6</xdr:col>
      <xdr:colOff>861059</xdr:colOff>
      <xdr:row>16</xdr:row>
      <xdr:rowOff>171450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19050</xdr:colOff>
      <xdr:row>2</xdr:row>
      <xdr:rowOff>19050</xdr:rowOff>
    </xdr:from>
    <xdr:to>
      <xdr:col>13</xdr:col>
      <xdr:colOff>784860</xdr:colOff>
      <xdr:row>16</xdr:row>
      <xdr:rowOff>180975</xdr:rowOff>
    </xdr:to>
    <xdr:graphicFrame macro="">
      <xdr:nvGraphicFramePr>
        <xdr:cNvPr id="3" name="Gráfico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0</xdr:row>
          <xdr:rowOff>0</xdr:rowOff>
        </xdr:from>
        <xdr:to>
          <xdr:col>14</xdr:col>
          <xdr:colOff>609600</xdr:colOff>
          <xdr:row>2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0" anchor="t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15</xdr:col>
          <xdr:colOff>723900</xdr:colOff>
          <xdr:row>19</xdr:row>
          <xdr:rowOff>171450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7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Filtros Adicionais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es" refreshedDate="45088.857057638888" createdVersion="8" refreshedVersion="8" minRefreshableVersion="3" recordCount="1000" xr:uid="{B9DCF87C-EC6A-4B8A-905F-791A9E9F52E3}">
  <cacheSource type="worksheet">
    <worksheetSource name="Exam"/>
  </cacheSource>
  <cacheFields count="9">
    <cacheField name="Gênero" numFmtId="0">
      <sharedItems count="2">
        <s v="Feminino"/>
        <s v="Masculino"/>
      </sharedItems>
    </cacheField>
    <cacheField name="Raça/Etinia" numFmtId="0">
      <sharedItems count="5">
        <s v="grupo A"/>
        <s v="grupo B"/>
        <s v="grupo C"/>
        <s v="grupo D"/>
        <s v="grupo E"/>
      </sharedItems>
    </cacheField>
    <cacheField name="Nível de educação dos pais" numFmtId="0">
      <sharedItems count="15">
        <s v="ensino incompleto"/>
        <s v="ensino médio"/>
        <s v="associado (supletivo)"/>
        <s v="graduação incompleta"/>
        <s v="grau de bacharelado"/>
        <s v="mestrado"/>
        <s v="algum ensino médio" u="1"/>
        <s v="alguma fauldade" u="1"/>
        <s v="grau de associado" u="1"/>
        <s v="grau de mestrado" u="1"/>
        <s v="bacharelado" u="1"/>
        <s v="faculdade incompleta" u="1"/>
        <s v="escolaridade incompleta" u="1"/>
        <s v="associado" u="1"/>
        <s v="ensino médio incompleto" u="1"/>
      </sharedItems>
    </cacheField>
    <cacheField name="Contagem" numFmtId="0">
      <sharedItems containsSemiMixedTypes="0" containsString="0" containsNumber="1" containsInteger="1" minValue="1" maxValue="224"/>
    </cacheField>
    <cacheField name="Lanche" numFmtId="0">
      <sharedItems count="3">
        <s v="padrão"/>
        <s v="reduzido"/>
        <s v="livre/reduzido" u="1"/>
      </sharedItems>
    </cacheField>
    <cacheField name="Curso de preparação para o teste" numFmtId="0">
      <sharedItems count="2">
        <s v="nenhum"/>
        <s v="concluído"/>
      </sharedItems>
    </cacheField>
    <cacheField name="Pontuação matemática" numFmtId="0">
      <sharedItems containsSemiMixedTypes="0" containsString="0" containsNumber="1" containsInteger="1" minValue="15" maxValue="100"/>
    </cacheField>
    <cacheField name="Pontuação de leitura" numFmtId="0">
      <sharedItems containsSemiMixedTypes="0" containsString="0" containsNumber="1" containsInteger="1" minValue="25" maxValue="100"/>
    </cacheField>
    <cacheField name="Pontuação de escrita" numFmtId="0">
      <sharedItems containsSemiMixedTypes="0" containsString="0" containsNumber="1" containsInteger="1" minValue="15" maxValue="100"/>
    </cacheField>
  </cacheFields>
  <extLst>
    <ext xmlns:x14="http://schemas.microsoft.com/office/spreadsheetml/2009/9/main" uri="{725AE2AE-9491-48be-B2B4-4EB974FC3084}">
      <x14:pivotCacheDefinition pivotCacheId="1566020040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es" refreshedDate="45103.898044328707" createdVersion="8" refreshedVersion="8" minRefreshableVersion="3" recordCount="1000" xr:uid="{9A109861-9F3A-44D0-A706-DD35B74D36E5}">
  <cacheSource type="worksheet">
    <worksheetSource ref="A5:I1005" sheet="Filtragem"/>
  </cacheSource>
  <cacheFields count="9">
    <cacheField name="Gênero" numFmtId="0">
      <sharedItems containsBlank="1" count="3">
        <s v="Feminino"/>
        <s v="Masculino"/>
        <m u="1"/>
      </sharedItems>
    </cacheField>
    <cacheField name="Raça/Etinia" numFmtId="0">
      <sharedItems containsBlank="1" count="6">
        <s v="grupo A"/>
        <s v="grupo B"/>
        <s v="grupo C"/>
        <s v="grupo D"/>
        <s v="grupo E"/>
        <m u="1"/>
      </sharedItems>
    </cacheField>
    <cacheField name="Nível de educação dos pais" numFmtId="0">
      <sharedItems containsBlank="1" count="7">
        <s v="ensino incompleto"/>
        <s v="ensino médio"/>
        <s v="associado (supletivo)"/>
        <s v="graduação incompleta"/>
        <s v="grau de bacharelado"/>
        <s v="grau de mestrado"/>
        <m u="1"/>
      </sharedItems>
    </cacheField>
    <cacheField name="Contagem" numFmtId="0">
      <sharedItems containsSemiMixedTypes="0" containsString="0" containsNumber="1" containsInteger="1" minValue="1" maxValue="224"/>
    </cacheField>
    <cacheField name="Lanche" numFmtId="0">
      <sharedItems containsBlank="1" count="4">
        <s v="padrão"/>
        <s v="reduzido"/>
        <m u="1"/>
        <s v="livre/reduzido" u="1"/>
      </sharedItems>
    </cacheField>
    <cacheField name="Curso de preparação para o teste" numFmtId="0">
      <sharedItems containsBlank="1" count="3">
        <s v="nenhum"/>
        <s v="concluído"/>
        <m u="1"/>
      </sharedItems>
    </cacheField>
    <cacheField name="Pontuação matemática" numFmtId="0">
      <sharedItems containsSemiMixedTypes="0" containsString="0" containsNumber="1" containsInteger="1" minValue="15" maxValue="100"/>
    </cacheField>
    <cacheField name="Pontuação de leitura" numFmtId="0">
      <sharedItems containsSemiMixedTypes="0" containsString="0" containsNumber="1" containsInteger="1" minValue="25" maxValue="100"/>
    </cacheField>
    <cacheField name="Pontuação de escrita" numFmtId="0">
      <sharedItems containsSemiMixedTypes="0" containsString="0" containsNumber="1" containsInteger="1" minValue="15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x v="0"/>
    <x v="0"/>
    <x v="0"/>
    <n v="1"/>
    <x v="0"/>
    <x v="0"/>
    <n v="57"/>
    <n v="53"/>
    <n v="54"/>
  </r>
  <r>
    <x v="0"/>
    <x v="0"/>
    <x v="0"/>
    <n v="2"/>
    <x v="0"/>
    <x v="0"/>
    <n v="70"/>
    <n v="82"/>
    <n v="83"/>
  </r>
  <r>
    <x v="0"/>
    <x v="0"/>
    <x v="0"/>
    <n v="3"/>
    <x v="0"/>
    <x v="0"/>
    <n v="70"/>
    <n v="75"/>
    <n v="70"/>
  </r>
  <r>
    <x v="0"/>
    <x v="0"/>
    <x v="0"/>
    <n v="4"/>
    <x v="0"/>
    <x v="1"/>
    <n v="57"/>
    <n v="68"/>
    <n v="74"/>
  </r>
  <r>
    <x v="0"/>
    <x v="0"/>
    <x v="0"/>
    <n v="5"/>
    <x v="0"/>
    <x v="1"/>
    <n v="64"/>
    <n v="81"/>
    <n v="87"/>
  </r>
  <r>
    <x v="0"/>
    <x v="0"/>
    <x v="0"/>
    <n v="6"/>
    <x v="1"/>
    <x v="0"/>
    <n v="57"/>
    <n v="70"/>
    <n v="71"/>
  </r>
  <r>
    <x v="0"/>
    <x v="0"/>
    <x v="0"/>
    <n v="7"/>
    <x v="1"/>
    <x v="0"/>
    <n v="47"/>
    <n v="58"/>
    <n v="54"/>
  </r>
  <r>
    <x v="0"/>
    <x v="0"/>
    <x v="0"/>
    <n v="8"/>
    <x v="1"/>
    <x v="1"/>
    <n v="53"/>
    <n v="77"/>
    <n v="75"/>
  </r>
  <r>
    <x v="0"/>
    <x v="0"/>
    <x v="1"/>
    <n v="1"/>
    <x v="0"/>
    <x v="0"/>
    <n v="61"/>
    <n v="73"/>
    <n v="70"/>
  </r>
  <r>
    <x v="0"/>
    <x v="0"/>
    <x v="1"/>
    <n v="2"/>
    <x v="0"/>
    <x v="0"/>
    <n v="64"/>
    <n v="72"/>
    <n v="66"/>
  </r>
  <r>
    <x v="0"/>
    <x v="0"/>
    <x v="1"/>
    <n v="3"/>
    <x v="0"/>
    <x v="0"/>
    <n v="79"/>
    <n v="97"/>
    <n v="85"/>
  </r>
  <r>
    <x v="0"/>
    <x v="0"/>
    <x v="1"/>
    <n v="4"/>
    <x v="0"/>
    <x v="0"/>
    <n v="61"/>
    <n v="69"/>
    <n v="69"/>
  </r>
  <r>
    <x v="0"/>
    <x v="0"/>
    <x v="1"/>
    <n v="5"/>
    <x v="0"/>
    <x v="0"/>
    <n v="79"/>
    <n v="86"/>
    <n v="84"/>
  </r>
  <r>
    <x v="0"/>
    <x v="0"/>
    <x v="1"/>
    <n v="6"/>
    <x v="0"/>
    <x v="0"/>
    <n v="61"/>
    <n v="69"/>
    <n v="66"/>
  </r>
  <r>
    <x v="0"/>
    <x v="0"/>
    <x v="1"/>
    <n v="7"/>
    <x v="0"/>
    <x v="0"/>
    <n v="52"/>
    <n v="68"/>
    <n v="66"/>
  </r>
  <r>
    <x v="0"/>
    <x v="0"/>
    <x v="1"/>
    <n v="8"/>
    <x v="0"/>
    <x v="0"/>
    <n v="61"/>
    <n v="73"/>
    <n v="74"/>
  </r>
  <r>
    <x v="0"/>
    <x v="0"/>
    <x v="1"/>
    <n v="9"/>
    <x v="0"/>
    <x v="1"/>
    <n v="56"/>
    <n v="68"/>
    <n v="70"/>
  </r>
  <r>
    <x v="0"/>
    <x v="0"/>
    <x v="1"/>
    <n v="10"/>
    <x v="0"/>
    <x v="1"/>
    <n v="68"/>
    <n v="75"/>
    <n v="73"/>
  </r>
  <r>
    <x v="0"/>
    <x v="0"/>
    <x v="1"/>
    <n v="11"/>
    <x v="0"/>
    <x v="1"/>
    <n v="82"/>
    <n v="95"/>
    <n v="93"/>
  </r>
  <r>
    <x v="0"/>
    <x v="0"/>
    <x v="1"/>
    <n v="12"/>
    <x v="0"/>
    <x v="1"/>
    <n v="67"/>
    <n v="86"/>
    <n v="86"/>
  </r>
  <r>
    <x v="0"/>
    <x v="0"/>
    <x v="1"/>
    <n v="13"/>
    <x v="1"/>
    <x v="0"/>
    <n v="34"/>
    <n v="49"/>
    <n v="47"/>
  </r>
  <r>
    <x v="0"/>
    <x v="0"/>
    <x v="2"/>
    <n v="1"/>
    <x v="0"/>
    <x v="0"/>
    <n v="53"/>
    <n v="57"/>
    <n v="60"/>
  </r>
  <r>
    <x v="0"/>
    <x v="0"/>
    <x v="2"/>
    <n v="2"/>
    <x v="0"/>
    <x v="0"/>
    <n v="72"/>
    <n v="85"/>
    <n v="81"/>
  </r>
  <r>
    <x v="0"/>
    <x v="0"/>
    <x v="2"/>
    <n v="3"/>
    <x v="0"/>
    <x v="0"/>
    <n v="51"/>
    <n v="69"/>
    <n v="65"/>
  </r>
  <r>
    <x v="0"/>
    <x v="0"/>
    <x v="2"/>
    <n v="4"/>
    <x v="0"/>
    <x v="0"/>
    <n v="73"/>
    <n v="76"/>
    <n v="74"/>
  </r>
  <r>
    <x v="0"/>
    <x v="0"/>
    <x v="2"/>
    <n v="5"/>
    <x v="0"/>
    <x v="0"/>
    <n v="61"/>
    <n v="65"/>
    <n v="59"/>
  </r>
  <r>
    <x v="0"/>
    <x v="0"/>
    <x v="2"/>
    <n v="6"/>
    <x v="0"/>
    <x v="0"/>
    <n v="72"/>
    <n v="77"/>
    <n v="77"/>
  </r>
  <r>
    <x v="0"/>
    <x v="0"/>
    <x v="2"/>
    <n v="7"/>
    <x v="0"/>
    <x v="1"/>
    <n v="73"/>
    <n v="68"/>
    <n v="81"/>
  </r>
  <r>
    <x v="0"/>
    <x v="0"/>
    <x v="2"/>
    <n v="8"/>
    <x v="1"/>
    <x v="0"/>
    <n v="58"/>
    <n v="75"/>
    <n v="78"/>
  </r>
  <r>
    <x v="0"/>
    <x v="0"/>
    <x v="2"/>
    <n v="9"/>
    <x v="1"/>
    <x v="0"/>
    <n v="41"/>
    <n v="49"/>
    <n v="51"/>
  </r>
  <r>
    <x v="0"/>
    <x v="0"/>
    <x v="3"/>
    <n v="1"/>
    <x v="0"/>
    <x v="0"/>
    <n v="51"/>
    <n v="46"/>
    <n v="42"/>
  </r>
  <r>
    <x v="0"/>
    <x v="0"/>
    <x v="3"/>
    <n v="2"/>
    <x v="0"/>
    <x v="0"/>
    <n v="62"/>
    <n v="64"/>
    <n v="63"/>
  </r>
  <r>
    <x v="0"/>
    <x v="0"/>
    <x v="3"/>
    <n v="3"/>
    <x v="0"/>
    <x v="0"/>
    <n v="83"/>
    <n v="91"/>
    <n v="92"/>
  </r>
  <r>
    <x v="0"/>
    <x v="0"/>
    <x v="3"/>
    <n v="4"/>
    <x v="1"/>
    <x v="0"/>
    <n v="54"/>
    <n v="56"/>
    <n v="58"/>
  </r>
  <r>
    <x v="0"/>
    <x v="0"/>
    <x v="3"/>
    <n v="5"/>
    <x v="1"/>
    <x v="1"/>
    <n v="75"/>
    <n v="97"/>
    <n v="92"/>
  </r>
  <r>
    <x v="0"/>
    <x v="0"/>
    <x v="4"/>
    <n v="1"/>
    <x v="0"/>
    <x v="1"/>
    <n v="73"/>
    <n v="79"/>
    <n v="81"/>
  </r>
  <r>
    <x v="0"/>
    <x v="0"/>
    <x v="4"/>
    <n v="2"/>
    <x v="0"/>
    <x v="1"/>
    <n v="66"/>
    <n v="80"/>
    <n v="75"/>
  </r>
  <r>
    <x v="0"/>
    <x v="0"/>
    <x v="4"/>
    <n v="3"/>
    <x v="1"/>
    <x v="0"/>
    <n v="62"/>
    <n v="75"/>
    <n v="73"/>
  </r>
  <r>
    <x v="0"/>
    <x v="0"/>
    <x v="4"/>
    <n v="4"/>
    <x v="1"/>
    <x v="0"/>
    <n v="65"/>
    <n v="64"/>
    <n v="73"/>
  </r>
  <r>
    <x v="0"/>
    <x v="0"/>
    <x v="5"/>
    <n v="1"/>
    <x v="0"/>
    <x v="0"/>
    <n v="68"/>
    <n v="70"/>
    <n v="72"/>
  </r>
  <r>
    <x v="0"/>
    <x v="0"/>
    <x v="5"/>
    <n v="2"/>
    <x v="0"/>
    <x v="1"/>
    <n v="68"/>
    <n v="76"/>
    <n v="76"/>
  </r>
  <r>
    <x v="0"/>
    <x v="1"/>
    <x v="0"/>
    <n v="9"/>
    <x v="0"/>
    <x v="0"/>
    <n v="46"/>
    <n v="61"/>
    <n v="58"/>
  </r>
  <r>
    <x v="0"/>
    <x v="1"/>
    <x v="0"/>
    <n v="10"/>
    <x v="0"/>
    <x v="0"/>
    <n v="62"/>
    <n v="78"/>
    <n v="74"/>
  </r>
  <r>
    <x v="0"/>
    <x v="1"/>
    <x v="0"/>
    <n v="11"/>
    <x v="0"/>
    <x v="0"/>
    <n v="60"/>
    <n v="73"/>
    <n v="68"/>
  </r>
  <r>
    <x v="0"/>
    <x v="1"/>
    <x v="0"/>
    <n v="12"/>
    <x v="0"/>
    <x v="0"/>
    <n v="44"/>
    <n v="56"/>
    <n v="47"/>
  </r>
  <r>
    <x v="0"/>
    <x v="1"/>
    <x v="0"/>
    <n v="13"/>
    <x v="0"/>
    <x v="0"/>
    <n v="48"/>
    <n v="59"/>
    <n v="55"/>
  </r>
  <r>
    <x v="0"/>
    <x v="1"/>
    <x v="0"/>
    <n v="14"/>
    <x v="0"/>
    <x v="0"/>
    <n v="37"/>
    <n v="51"/>
    <n v="43"/>
  </r>
  <r>
    <x v="0"/>
    <x v="1"/>
    <x v="0"/>
    <n v="15"/>
    <x v="0"/>
    <x v="0"/>
    <n v="67"/>
    <n v="73"/>
    <n v="76"/>
  </r>
  <r>
    <x v="0"/>
    <x v="1"/>
    <x v="0"/>
    <n v="16"/>
    <x v="0"/>
    <x v="0"/>
    <n v="83"/>
    <n v="86"/>
    <n v="89"/>
  </r>
  <r>
    <x v="0"/>
    <x v="1"/>
    <x v="0"/>
    <n v="17"/>
    <x v="0"/>
    <x v="0"/>
    <n v="52"/>
    <n v="65"/>
    <n v="60"/>
  </r>
  <r>
    <x v="0"/>
    <x v="1"/>
    <x v="0"/>
    <n v="18"/>
    <x v="0"/>
    <x v="0"/>
    <n v="44"/>
    <n v="65"/>
    <n v="59"/>
  </r>
  <r>
    <x v="0"/>
    <x v="1"/>
    <x v="0"/>
    <n v="19"/>
    <x v="0"/>
    <x v="1"/>
    <n v="69"/>
    <n v="76"/>
    <n v="72"/>
  </r>
  <r>
    <x v="0"/>
    <x v="1"/>
    <x v="0"/>
    <n v="20"/>
    <x v="1"/>
    <x v="0"/>
    <n v="65"/>
    <n v="83"/>
    <n v="77"/>
  </r>
  <r>
    <x v="0"/>
    <x v="1"/>
    <x v="0"/>
    <n v="21"/>
    <x v="1"/>
    <x v="0"/>
    <n v="61"/>
    <n v="80"/>
    <n v="82"/>
  </r>
  <r>
    <x v="0"/>
    <x v="1"/>
    <x v="0"/>
    <n v="22"/>
    <x v="1"/>
    <x v="0"/>
    <n v="36"/>
    <n v="51"/>
    <n v="49"/>
  </r>
  <r>
    <x v="0"/>
    <x v="1"/>
    <x v="0"/>
    <n v="23"/>
    <x v="1"/>
    <x v="0"/>
    <n v="55"/>
    <n v="70"/>
    <n v="60"/>
  </r>
  <r>
    <x v="0"/>
    <x v="1"/>
    <x v="0"/>
    <n v="24"/>
    <x v="1"/>
    <x v="0"/>
    <n v="36"/>
    <n v="52"/>
    <n v="51"/>
  </r>
  <r>
    <x v="0"/>
    <x v="1"/>
    <x v="0"/>
    <n v="25"/>
    <x v="1"/>
    <x v="1"/>
    <n v="73"/>
    <n v="91"/>
    <n v="88"/>
  </r>
  <r>
    <x v="0"/>
    <x v="1"/>
    <x v="0"/>
    <n v="26"/>
    <x v="1"/>
    <x v="1"/>
    <n v="46"/>
    <n v="63"/>
    <n v="66"/>
  </r>
  <r>
    <x v="0"/>
    <x v="1"/>
    <x v="0"/>
    <n v="27"/>
    <x v="1"/>
    <x v="1"/>
    <n v="64"/>
    <n v="72"/>
    <n v="79"/>
  </r>
  <r>
    <x v="0"/>
    <x v="1"/>
    <x v="0"/>
    <n v="28"/>
    <x v="1"/>
    <x v="1"/>
    <n v="37"/>
    <n v="48"/>
    <n v="46"/>
  </r>
  <r>
    <x v="0"/>
    <x v="1"/>
    <x v="1"/>
    <n v="14"/>
    <x v="0"/>
    <x v="0"/>
    <n v="52"/>
    <n v="56"/>
    <n v="54"/>
  </r>
  <r>
    <x v="0"/>
    <x v="1"/>
    <x v="1"/>
    <n v="15"/>
    <x v="0"/>
    <x v="0"/>
    <n v="55"/>
    <n v="60"/>
    <n v="67"/>
  </r>
  <r>
    <x v="0"/>
    <x v="1"/>
    <x v="1"/>
    <n v="16"/>
    <x v="0"/>
    <x v="0"/>
    <n v="59"/>
    <n v="72"/>
    <n v="67"/>
  </r>
  <r>
    <x v="0"/>
    <x v="1"/>
    <x v="1"/>
    <n v="17"/>
    <x v="0"/>
    <x v="0"/>
    <n v="63"/>
    <n v="76"/>
    <n v="67"/>
  </r>
  <r>
    <x v="0"/>
    <x v="1"/>
    <x v="1"/>
    <n v="18"/>
    <x v="0"/>
    <x v="0"/>
    <n v="54"/>
    <n v="56"/>
    <n v="59"/>
  </r>
  <r>
    <x v="0"/>
    <x v="1"/>
    <x v="1"/>
    <n v="19"/>
    <x v="0"/>
    <x v="0"/>
    <n v="65"/>
    <n v="68"/>
    <n v="67"/>
  </r>
  <r>
    <x v="0"/>
    <x v="1"/>
    <x v="1"/>
    <n v="20"/>
    <x v="0"/>
    <x v="0"/>
    <n v="45"/>
    <n v="52"/>
    <n v="51"/>
  </r>
  <r>
    <x v="0"/>
    <x v="1"/>
    <x v="1"/>
    <n v="21"/>
    <x v="0"/>
    <x v="0"/>
    <n v="74"/>
    <n v="90"/>
    <n v="83"/>
  </r>
  <r>
    <x v="0"/>
    <x v="1"/>
    <x v="1"/>
    <n v="22"/>
    <x v="0"/>
    <x v="1"/>
    <n v="66"/>
    <n v="62"/>
    <n v="66"/>
  </r>
  <r>
    <x v="0"/>
    <x v="1"/>
    <x v="1"/>
    <n v="23"/>
    <x v="0"/>
    <x v="1"/>
    <n v="81"/>
    <n v="89"/>
    <n v="88"/>
  </r>
  <r>
    <x v="0"/>
    <x v="1"/>
    <x v="1"/>
    <n v="24"/>
    <x v="0"/>
    <x v="1"/>
    <n v="72"/>
    <n v="73"/>
    <n v="72"/>
  </r>
  <r>
    <x v="0"/>
    <x v="1"/>
    <x v="1"/>
    <n v="25"/>
    <x v="0"/>
    <x v="1"/>
    <n v="77"/>
    <n v="83"/>
    <n v="91"/>
  </r>
  <r>
    <x v="0"/>
    <x v="1"/>
    <x v="1"/>
    <n v="26"/>
    <x v="1"/>
    <x v="0"/>
    <n v="61"/>
    <n v="74"/>
    <n v="71"/>
  </r>
  <r>
    <x v="0"/>
    <x v="1"/>
    <x v="1"/>
    <n v="27"/>
    <x v="1"/>
    <x v="0"/>
    <n v="38"/>
    <n v="55"/>
    <n v="52"/>
  </r>
  <r>
    <x v="0"/>
    <x v="1"/>
    <x v="1"/>
    <n v="28"/>
    <x v="1"/>
    <x v="0"/>
    <n v="67"/>
    <n v="77"/>
    <n v="81"/>
  </r>
  <r>
    <x v="0"/>
    <x v="1"/>
    <x v="1"/>
    <n v="29"/>
    <x v="1"/>
    <x v="0"/>
    <n v="46"/>
    <n v="57"/>
    <n v="53"/>
  </r>
  <r>
    <x v="0"/>
    <x v="1"/>
    <x v="1"/>
    <n v="30"/>
    <x v="1"/>
    <x v="0"/>
    <n v="55"/>
    <n v="68"/>
    <n v="66"/>
  </r>
  <r>
    <x v="0"/>
    <x v="1"/>
    <x v="1"/>
    <n v="31"/>
    <x v="1"/>
    <x v="0"/>
    <n v="58"/>
    <n v="62"/>
    <n v="54"/>
  </r>
  <r>
    <x v="0"/>
    <x v="1"/>
    <x v="1"/>
    <n v="32"/>
    <x v="1"/>
    <x v="0"/>
    <n v="49"/>
    <n v="65"/>
    <n v="62"/>
  </r>
  <r>
    <x v="0"/>
    <x v="1"/>
    <x v="1"/>
    <n v="33"/>
    <x v="1"/>
    <x v="0"/>
    <n v="39"/>
    <n v="60"/>
    <n v="52"/>
  </r>
  <r>
    <x v="0"/>
    <x v="1"/>
    <x v="1"/>
    <n v="34"/>
    <x v="1"/>
    <x v="0"/>
    <n v="59"/>
    <n v="74"/>
    <n v="68"/>
  </r>
  <r>
    <x v="0"/>
    <x v="1"/>
    <x v="1"/>
    <n v="35"/>
    <x v="1"/>
    <x v="0"/>
    <n v="30"/>
    <n v="47"/>
    <n v="46"/>
  </r>
  <r>
    <x v="0"/>
    <x v="1"/>
    <x v="1"/>
    <n v="36"/>
    <x v="1"/>
    <x v="0"/>
    <n v="51"/>
    <n v="69"/>
    <n v="64"/>
  </r>
  <r>
    <x v="0"/>
    <x v="1"/>
    <x v="1"/>
    <n v="37"/>
    <x v="1"/>
    <x v="1"/>
    <n v="69"/>
    <n v="78"/>
    <n v="75"/>
  </r>
  <r>
    <x v="0"/>
    <x v="1"/>
    <x v="1"/>
    <n v="38"/>
    <x v="1"/>
    <x v="1"/>
    <n v="75"/>
    <n v="90"/>
    <n v="95"/>
  </r>
  <r>
    <x v="0"/>
    <x v="1"/>
    <x v="1"/>
    <n v="39"/>
    <x v="1"/>
    <x v="1"/>
    <n v="45"/>
    <n v="61"/>
    <n v="63"/>
  </r>
  <r>
    <x v="0"/>
    <x v="1"/>
    <x v="1"/>
    <n v="40"/>
    <x v="1"/>
    <x v="1"/>
    <n v="60"/>
    <n v="66"/>
    <n v="64"/>
  </r>
  <r>
    <x v="0"/>
    <x v="1"/>
    <x v="1"/>
    <n v="41"/>
    <x v="1"/>
    <x v="1"/>
    <n v="49"/>
    <n v="66"/>
    <n v="60"/>
  </r>
  <r>
    <x v="0"/>
    <x v="1"/>
    <x v="2"/>
    <n v="10"/>
    <x v="0"/>
    <x v="0"/>
    <n v="73"/>
    <n v="80"/>
    <n v="78"/>
  </r>
  <r>
    <x v="0"/>
    <x v="1"/>
    <x v="2"/>
    <n v="11"/>
    <x v="0"/>
    <x v="0"/>
    <n v="81"/>
    <n v="89"/>
    <n v="86"/>
  </r>
  <r>
    <x v="0"/>
    <x v="1"/>
    <x v="2"/>
    <n v="12"/>
    <x v="0"/>
    <x v="0"/>
    <n v="62"/>
    <n v="81"/>
    <n v="77"/>
  </r>
  <r>
    <x v="0"/>
    <x v="1"/>
    <x v="2"/>
    <n v="13"/>
    <x v="0"/>
    <x v="0"/>
    <n v="75"/>
    <n v="95"/>
    <n v="94"/>
  </r>
  <r>
    <x v="0"/>
    <x v="1"/>
    <x v="2"/>
    <n v="14"/>
    <x v="0"/>
    <x v="0"/>
    <n v="71"/>
    <n v="87"/>
    <n v="87"/>
  </r>
  <r>
    <x v="0"/>
    <x v="1"/>
    <x v="2"/>
    <n v="15"/>
    <x v="0"/>
    <x v="0"/>
    <n v="75"/>
    <n v="91"/>
    <n v="81"/>
  </r>
  <r>
    <x v="0"/>
    <x v="1"/>
    <x v="2"/>
    <n v="16"/>
    <x v="0"/>
    <x v="0"/>
    <n v="90"/>
    <n v="94"/>
    <n v="93"/>
  </r>
  <r>
    <x v="0"/>
    <x v="1"/>
    <x v="2"/>
    <n v="17"/>
    <x v="0"/>
    <x v="0"/>
    <n v="68"/>
    <n v="70"/>
    <n v="76"/>
  </r>
  <r>
    <x v="0"/>
    <x v="1"/>
    <x v="2"/>
    <n v="18"/>
    <x v="0"/>
    <x v="0"/>
    <n v="84"/>
    <n v="90"/>
    <n v="89"/>
  </r>
  <r>
    <x v="0"/>
    <x v="1"/>
    <x v="2"/>
    <n v="19"/>
    <x v="0"/>
    <x v="0"/>
    <n v="82"/>
    <n v="97"/>
    <n v="90"/>
  </r>
  <r>
    <x v="0"/>
    <x v="1"/>
    <x v="2"/>
    <n v="20"/>
    <x v="0"/>
    <x v="1"/>
    <n v="80"/>
    <n v="81"/>
    <n v="85"/>
  </r>
  <r>
    <x v="0"/>
    <x v="1"/>
    <x v="2"/>
    <n v="21"/>
    <x v="0"/>
    <x v="1"/>
    <n v="63"/>
    <n v="72"/>
    <n v="78"/>
  </r>
  <r>
    <x v="0"/>
    <x v="1"/>
    <x v="2"/>
    <n v="22"/>
    <x v="0"/>
    <x v="1"/>
    <n v="91"/>
    <n v="99"/>
    <n v="100"/>
  </r>
  <r>
    <x v="0"/>
    <x v="1"/>
    <x v="2"/>
    <n v="23"/>
    <x v="0"/>
    <x v="1"/>
    <n v="65"/>
    <n v="78"/>
    <n v="81"/>
  </r>
  <r>
    <x v="0"/>
    <x v="1"/>
    <x v="2"/>
    <n v="24"/>
    <x v="0"/>
    <x v="1"/>
    <n v="60"/>
    <n v="65"/>
    <n v="67"/>
  </r>
  <r>
    <x v="0"/>
    <x v="1"/>
    <x v="2"/>
    <n v="25"/>
    <x v="0"/>
    <x v="1"/>
    <n v="81"/>
    <n v="92"/>
    <n v="97"/>
  </r>
  <r>
    <x v="0"/>
    <x v="1"/>
    <x v="2"/>
    <n v="26"/>
    <x v="0"/>
    <x v="1"/>
    <n v="64"/>
    <n v="66"/>
    <n v="72"/>
  </r>
  <r>
    <x v="0"/>
    <x v="1"/>
    <x v="2"/>
    <n v="27"/>
    <x v="0"/>
    <x v="1"/>
    <n v="83"/>
    <n v="96"/>
    <n v="96"/>
  </r>
  <r>
    <x v="0"/>
    <x v="1"/>
    <x v="2"/>
    <n v="28"/>
    <x v="1"/>
    <x v="0"/>
    <n v="35"/>
    <n v="34"/>
    <n v="36"/>
  </r>
  <r>
    <x v="0"/>
    <x v="1"/>
    <x v="2"/>
    <n v="29"/>
    <x v="1"/>
    <x v="0"/>
    <n v="67"/>
    <n v="73"/>
    <n v="74"/>
  </r>
  <r>
    <x v="0"/>
    <x v="1"/>
    <x v="2"/>
    <n v="30"/>
    <x v="1"/>
    <x v="0"/>
    <n v="61"/>
    <n v="68"/>
    <n v="67"/>
  </r>
  <r>
    <x v="0"/>
    <x v="1"/>
    <x v="2"/>
    <n v="31"/>
    <x v="1"/>
    <x v="0"/>
    <n v="67"/>
    <n v="76"/>
    <n v="76"/>
  </r>
  <r>
    <x v="0"/>
    <x v="1"/>
    <x v="2"/>
    <n v="32"/>
    <x v="1"/>
    <x v="0"/>
    <n v="61"/>
    <n v="64"/>
    <n v="63"/>
  </r>
  <r>
    <x v="0"/>
    <x v="1"/>
    <x v="2"/>
    <n v="33"/>
    <x v="1"/>
    <x v="0"/>
    <n v="59"/>
    <n v="72"/>
    <n v="72"/>
  </r>
  <r>
    <x v="0"/>
    <x v="1"/>
    <x v="2"/>
    <n v="34"/>
    <x v="1"/>
    <x v="1"/>
    <n v="58"/>
    <n v="67"/>
    <n v="70"/>
  </r>
  <r>
    <x v="0"/>
    <x v="1"/>
    <x v="3"/>
    <n v="6"/>
    <x v="0"/>
    <x v="0"/>
    <n v="70"/>
    <n v="71"/>
    <n v="71"/>
  </r>
  <r>
    <x v="0"/>
    <x v="1"/>
    <x v="3"/>
    <n v="7"/>
    <x v="0"/>
    <x v="0"/>
    <n v="83"/>
    <n v="88"/>
    <n v="90"/>
  </r>
  <r>
    <x v="0"/>
    <x v="1"/>
    <x v="3"/>
    <n v="8"/>
    <x v="0"/>
    <x v="0"/>
    <n v="84"/>
    <n v="100"/>
    <n v="96"/>
  </r>
  <r>
    <x v="0"/>
    <x v="1"/>
    <x v="3"/>
    <n v="9"/>
    <x v="0"/>
    <x v="0"/>
    <n v="56"/>
    <n v="61"/>
    <n v="65"/>
  </r>
  <r>
    <x v="0"/>
    <x v="1"/>
    <x v="3"/>
    <n v="10"/>
    <x v="0"/>
    <x v="0"/>
    <n v="83"/>
    <n v="89"/>
    <n v="88"/>
  </r>
  <r>
    <x v="0"/>
    <x v="1"/>
    <x v="3"/>
    <n v="11"/>
    <x v="0"/>
    <x v="0"/>
    <n v="50"/>
    <n v="48"/>
    <n v="52"/>
  </r>
  <r>
    <x v="0"/>
    <x v="1"/>
    <x v="3"/>
    <n v="12"/>
    <x v="0"/>
    <x v="0"/>
    <n v="58"/>
    <n v="64"/>
    <n v="56"/>
  </r>
  <r>
    <x v="0"/>
    <x v="1"/>
    <x v="3"/>
    <n v="13"/>
    <x v="0"/>
    <x v="0"/>
    <n v="61"/>
    <n v="69"/>
    <n v="73"/>
  </r>
  <r>
    <x v="0"/>
    <x v="1"/>
    <x v="3"/>
    <n v="14"/>
    <x v="0"/>
    <x v="0"/>
    <n v="65"/>
    <n v="76"/>
    <n v="70"/>
  </r>
  <r>
    <x v="0"/>
    <x v="1"/>
    <x v="3"/>
    <n v="15"/>
    <x v="0"/>
    <x v="0"/>
    <n v="58"/>
    <n v="69"/>
    <n v="63"/>
  </r>
  <r>
    <x v="0"/>
    <x v="1"/>
    <x v="3"/>
    <n v="16"/>
    <x v="0"/>
    <x v="1"/>
    <n v="69"/>
    <n v="72"/>
    <n v="72"/>
  </r>
  <r>
    <x v="0"/>
    <x v="1"/>
    <x v="3"/>
    <n v="17"/>
    <x v="0"/>
    <x v="1"/>
    <n v="61"/>
    <n v="75"/>
    <n v="82"/>
  </r>
  <r>
    <x v="0"/>
    <x v="1"/>
    <x v="3"/>
    <n v="18"/>
    <x v="0"/>
    <x v="1"/>
    <n v="45"/>
    <n v="63"/>
    <n v="67"/>
  </r>
  <r>
    <x v="0"/>
    <x v="1"/>
    <x v="3"/>
    <n v="19"/>
    <x v="0"/>
    <x v="1"/>
    <n v="47"/>
    <n v="58"/>
    <n v="56"/>
  </r>
  <r>
    <x v="0"/>
    <x v="1"/>
    <x v="3"/>
    <n v="20"/>
    <x v="0"/>
    <x v="1"/>
    <n v="77"/>
    <n v="90"/>
    <n v="93"/>
  </r>
  <r>
    <x v="0"/>
    <x v="1"/>
    <x v="3"/>
    <n v="21"/>
    <x v="0"/>
    <x v="1"/>
    <n v="92"/>
    <n v="100"/>
    <n v="100"/>
  </r>
  <r>
    <x v="0"/>
    <x v="1"/>
    <x v="3"/>
    <n v="22"/>
    <x v="1"/>
    <x v="0"/>
    <n v="37"/>
    <n v="51"/>
    <n v="51"/>
  </r>
  <r>
    <x v="0"/>
    <x v="1"/>
    <x v="3"/>
    <n v="23"/>
    <x v="1"/>
    <x v="1"/>
    <n v="27"/>
    <n v="49"/>
    <n v="50"/>
  </r>
  <r>
    <x v="0"/>
    <x v="1"/>
    <x v="3"/>
    <n v="24"/>
    <x v="1"/>
    <x v="1"/>
    <n v="69"/>
    <n v="85"/>
    <n v="84"/>
  </r>
  <r>
    <x v="0"/>
    <x v="1"/>
    <x v="3"/>
    <n v="25"/>
    <x v="1"/>
    <x v="1"/>
    <n v="55"/>
    <n v="67"/>
    <n v="68"/>
  </r>
  <r>
    <x v="0"/>
    <x v="1"/>
    <x v="3"/>
    <n v="26"/>
    <x v="1"/>
    <x v="1"/>
    <n v="47"/>
    <n v="61"/>
    <n v="64"/>
  </r>
  <r>
    <x v="0"/>
    <x v="1"/>
    <x v="3"/>
    <n v="27"/>
    <x v="1"/>
    <x v="1"/>
    <n v="58"/>
    <n v="62"/>
    <n v="64"/>
  </r>
  <r>
    <x v="0"/>
    <x v="1"/>
    <x v="4"/>
    <n v="5"/>
    <x v="0"/>
    <x v="0"/>
    <n v="65"/>
    <n v="79"/>
    <n v="73"/>
  </r>
  <r>
    <x v="0"/>
    <x v="1"/>
    <x v="4"/>
    <n v="6"/>
    <x v="0"/>
    <x v="0"/>
    <n v="84"/>
    <n v="91"/>
    <n v="93"/>
  </r>
  <r>
    <x v="0"/>
    <x v="1"/>
    <x v="4"/>
    <n v="7"/>
    <x v="0"/>
    <x v="0"/>
    <n v="81"/>
    <n v="84"/>
    <n v="86"/>
  </r>
  <r>
    <x v="0"/>
    <x v="1"/>
    <x v="4"/>
    <n v="8"/>
    <x v="0"/>
    <x v="0"/>
    <n v="88"/>
    <n v="84"/>
    <n v="88"/>
  </r>
  <r>
    <x v="0"/>
    <x v="1"/>
    <x v="4"/>
    <n v="9"/>
    <x v="0"/>
    <x v="0"/>
    <n v="73"/>
    <n v="87"/>
    <n v="89"/>
  </r>
  <r>
    <x v="0"/>
    <x v="1"/>
    <x v="4"/>
    <n v="10"/>
    <x v="0"/>
    <x v="1"/>
    <n v="66"/>
    <n v="73"/>
    <n v="72"/>
  </r>
  <r>
    <x v="0"/>
    <x v="1"/>
    <x v="4"/>
    <n v="11"/>
    <x v="0"/>
    <x v="1"/>
    <n v="82"/>
    <n v="85"/>
    <n v="99"/>
  </r>
  <r>
    <x v="0"/>
    <x v="1"/>
    <x v="4"/>
    <n v="12"/>
    <x v="0"/>
    <x v="1"/>
    <n v="64"/>
    <n v="77"/>
    <n v="79"/>
  </r>
  <r>
    <x v="0"/>
    <x v="1"/>
    <x v="4"/>
    <n v="13"/>
    <x v="0"/>
    <x v="1"/>
    <n v="55"/>
    <n v="64"/>
    <n v="63"/>
  </r>
  <r>
    <x v="0"/>
    <x v="1"/>
    <x v="4"/>
    <n v="14"/>
    <x v="0"/>
    <x v="1"/>
    <n v="85"/>
    <n v="96"/>
    <n v="95"/>
  </r>
  <r>
    <x v="0"/>
    <x v="1"/>
    <x v="4"/>
    <n v="15"/>
    <x v="0"/>
    <x v="1"/>
    <n v="80"/>
    <n v="93"/>
    <n v="99"/>
  </r>
  <r>
    <x v="0"/>
    <x v="1"/>
    <x v="4"/>
    <n v="16"/>
    <x v="1"/>
    <x v="0"/>
    <n v="50"/>
    <n v="62"/>
    <n v="62"/>
  </r>
  <r>
    <x v="0"/>
    <x v="1"/>
    <x v="4"/>
    <n v="17"/>
    <x v="1"/>
    <x v="1"/>
    <n v="49"/>
    <n v="57"/>
    <n v="61"/>
  </r>
  <r>
    <x v="0"/>
    <x v="1"/>
    <x v="5"/>
    <n v="3"/>
    <x v="0"/>
    <x v="0"/>
    <n v="53"/>
    <n v="61"/>
    <n v="59"/>
  </r>
  <r>
    <x v="0"/>
    <x v="1"/>
    <x v="5"/>
    <n v="4"/>
    <x v="0"/>
    <x v="0"/>
    <n v="71"/>
    <n v="68"/>
    <n v="68"/>
  </r>
  <r>
    <x v="0"/>
    <x v="1"/>
    <x v="5"/>
    <n v="5"/>
    <x v="0"/>
    <x v="0"/>
    <n v="62"/>
    <n v="67"/>
    <n v="70"/>
  </r>
  <r>
    <x v="0"/>
    <x v="1"/>
    <x v="5"/>
    <n v="6"/>
    <x v="0"/>
    <x v="1"/>
    <n v="59"/>
    <n v="75"/>
    <n v="79"/>
  </r>
  <r>
    <x v="0"/>
    <x v="2"/>
    <x v="0"/>
    <n v="29"/>
    <x v="0"/>
    <x v="0"/>
    <n v="23"/>
    <n v="33"/>
    <n v="33"/>
  </r>
  <r>
    <x v="0"/>
    <x v="2"/>
    <x v="0"/>
    <n v="30"/>
    <x v="0"/>
    <x v="0"/>
    <n v="70"/>
    <n v="75"/>
    <n v="76"/>
  </r>
  <r>
    <x v="0"/>
    <x v="2"/>
    <x v="0"/>
    <n v="31"/>
    <x v="0"/>
    <x v="0"/>
    <n v="62"/>
    <n v="64"/>
    <n v="64"/>
  </r>
  <r>
    <x v="0"/>
    <x v="2"/>
    <x v="0"/>
    <n v="32"/>
    <x v="0"/>
    <x v="0"/>
    <n v="75"/>
    <n v="86"/>
    <n v="84"/>
  </r>
  <r>
    <x v="0"/>
    <x v="2"/>
    <x v="0"/>
    <n v="33"/>
    <x v="0"/>
    <x v="0"/>
    <n v="68"/>
    <n v="77"/>
    <n v="75"/>
  </r>
  <r>
    <x v="0"/>
    <x v="2"/>
    <x v="0"/>
    <n v="34"/>
    <x v="0"/>
    <x v="0"/>
    <n v="70"/>
    <n v="75"/>
    <n v="78"/>
  </r>
  <r>
    <x v="0"/>
    <x v="2"/>
    <x v="0"/>
    <n v="35"/>
    <x v="0"/>
    <x v="0"/>
    <n v="67"/>
    <n v="72"/>
    <n v="71"/>
  </r>
  <r>
    <x v="0"/>
    <x v="2"/>
    <x v="0"/>
    <n v="36"/>
    <x v="0"/>
    <x v="0"/>
    <n v="88"/>
    <n v="90"/>
    <n v="90"/>
  </r>
  <r>
    <x v="0"/>
    <x v="2"/>
    <x v="0"/>
    <n v="37"/>
    <x v="0"/>
    <x v="0"/>
    <n v="53"/>
    <n v="48"/>
    <n v="49"/>
  </r>
  <r>
    <x v="0"/>
    <x v="2"/>
    <x v="0"/>
    <n v="38"/>
    <x v="0"/>
    <x v="0"/>
    <n v="60"/>
    <n v="61"/>
    <n v="57"/>
  </r>
  <r>
    <x v="0"/>
    <x v="2"/>
    <x v="0"/>
    <n v="39"/>
    <x v="0"/>
    <x v="0"/>
    <n v="86"/>
    <n v="92"/>
    <n v="83"/>
  </r>
  <r>
    <x v="0"/>
    <x v="2"/>
    <x v="0"/>
    <n v="40"/>
    <x v="0"/>
    <x v="0"/>
    <n v="74"/>
    <n v="77"/>
    <n v="72"/>
  </r>
  <r>
    <x v="0"/>
    <x v="2"/>
    <x v="0"/>
    <n v="41"/>
    <x v="0"/>
    <x v="0"/>
    <n v="70"/>
    <n v="77"/>
    <n v="76"/>
  </r>
  <r>
    <x v="0"/>
    <x v="2"/>
    <x v="0"/>
    <n v="42"/>
    <x v="0"/>
    <x v="1"/>
    <n v="69"/>
    <n v="84"/>
    <n v="81"/>
  </r>
  <r>
    <x v="0"/>
    <x v="2"/>
    <x v="0"/>
    <n v="43"/>
    <x v="1"/>
    <x v="0"/>
    <n v="34"/>
    <n v="44"/>
    <n v="43"/>
  </r>
  <r>
    <x v="0"/>
    <x v="2"/>
    <x v="0"/>
    <n v="44"/>
    <x v="1"/>
    <x v="0"/>
    <n v="38"/>
    <n v="45"/>
    <n v="44"/>
  </r>
  <r>
    <x v="0"/>
    <x v="2"/>
    <x v="0"/>
    <n v="45"/>
    <x v="1"/>
    <x v="1"/>
    <n v="60"/>
    <n v="67"/>
    <n v="74"/>
  </r>
  <r>
    <x v="0"/>
    <x v="2"/>
    <x v="0"/>
    <n v="46"/>
    <x v="1"/>
    <x v="1"/>
    <n v="52"/>
    <n v="59"/>
    <n v="58"/>
  </r>
  <r>
    <x v="0"/>
    <x v="2"/>
    <x v="0"/>
    <n v="47"/>
    <x v="1"/>
    <x v="1"/>
    <n v="62"/>
    <n v="74"/>
    <n v="71"/>
  </r>
  <r>
    <x v="0"/>
    <x v="2"/>
    <x v="0"/>
    <n v="48"/>
    <x v="1"/>
    <x v="1"/>
    <n v="58"/>
    <n v="80"/>
    <n v="76"/>
  </r>
  <r>
    <x v="0"/>
    <x v="2"/>
    <x v="1"/>
    <n v="42"/>
    <x v="0"/>
    <x v="0"/>
    <n v="87"/>
    <n v="92"/>
    <n v="81"/>
  </r>
  <r>
    <x v="0"/>
    <x v="2"/>
    <x v="1"/>
    <n v="43"/>
    <x v="0"/>
    <x v="0"/>
    <n v="66"/>
    <n v="77"/>
    <n v="80"/>
  </r>
  <r>
    <x v="0"/>
    <x v="2"/>
    <x v="1"/>
    <n v="44"/>
    <x v="0"/>
    <x v="0"/>
    <n v="77"/>
    <n v="81"/>
    <n v="85"/>
  </r>
  <r>
    <x v="0"/>
    <x v="2"/>
    <x v="1"/>
    <n v="45"/>
    <x v="0"/>
    <x v="0"/>
    <n v="55"/>
    <n v="62"/>
    <n v="61"/>
  </r>
  <r>
    <x v="0"/>
    <x v="2"/>
    <x v="1"/>
    <n v="46"/>
    <x v="0"/>
    <x v="0"/>
    <n v="70"/>
    <n v="63"/>
    <n v="63"/>
  </r>
  <r>
    <x v="0"/>
    <x v="2"/>
    <x v="1"/>
    <n v="47"/>
    <x v="0"/>
    <x v="0"/>
    <n v="72"/>
    <n v="76"/>
    <n v="74"/>
  </r>
  <r>
    <x v="0"/>
    <x v="2"/>
    <x v="1"/>
    <n v="48"/>
    <x v="0"/>
    <x v="0"/>
    <n v="69"/>
    <n v="81"/>
    <n v="70"/>
  </r>
  <r>
    <x v="0"/>
    <x v="2"/>
    <x v="1"/>
    <n v="49"/>
    <x v="0"/>
    <x v="0"/>
    <n v="63"/>
    <n v="64"/>
    <n v="59"/>
  </r>
  <r>
    <x v="0"/>
    <x v="2"/>
    <x v="1"/>
    <n v="50"/>
    <x v="0"/>
    <x v="0"/>
    <n v="21"/>
    <n v="30"/>
    <n v="26"/>
  </r>
  <r>
    <x v="0"/>
    <x v="2"/>
    <x v="1"/>
    <n v="51"/>
    <x v="0"/>
    <x v="0"/>
    <n v="54"/>
    <n v="73"/>
    <n v="64"/>
  </r>
  <r>
    <x v="0"/>
    <x v="2"/>
    <x v="1"/>
    <n v="52"/>
    <x v="0"/>
    <x v="0"/>
    <n v="50"/>
    <n v="62"/>
    <n v="63"/>
  </r>
  <r>
    <x v="0"/>
    <x v="2"/>
    <x v="1"/>
    <n v="53"/>
    <x v="0"/>
    <x v="0"/>
    <n v="56"/>
    <n v="68"/>
    <n v="66"/>
  </r>
  <r>
    <x v="0"/>
    <x v="2"/>
    <x v="1"/>
    <n v="54"/>
    <x v="0"/>
    <x v="0"/>
    <n v="80"/>
    <n v="84"/>
    <n v="81"/>
  </r>
  <r>
    <x v="0"/>
    <x v="2"/>
    <x v="1"/>
    <n v="55"/>
    <x v="0"/>
    <x v="0"/>
    <n v="61"/>
    <n v="57"/>
    <n v="55"/>
  </r>
  <r>
    <x v="0"/>
    <x v="2"/>
    <x v="1"/>
    <n v="56"/>
    <x v="0"/>
    <x v="0"/>
    <n v="31"/>
    <n v="49"/>
    <n v="42"/>
  </r>
  <r>
    <x v="0"/>
    <x v="2"/>
    <x v="1"/>
    <n v="57"/>
    <x v="0"/>
    <x v="0"/>
    <n v="87"/>
    <n v="90"/>
    <n v="85"/>
  </r>
  <r>
    <x v="0"/>
    <x v="2"/>
    <x v="1"/>
    <n v="58"/>
    <x v="0"/>
    <x v="0"/>
    <n v="59"/>
    <n v="63"/>
    <n v="61"/>
  </r>
  <r>
    <x v="0"/>
    <x v="2"/>
    <x v="1"/>
    <n v="59"/>
    <x v="0"/>
    <x v="0"/>
    <n v="71"/>
    <n v="72"/>
    <n v="69"/>
  </r>
  <r>
    <x v="0"/>
    <x v="2"/>
    <x v="1"/>
    <n v="60"/>
    <x v="0"/>
    <x v="0"/>
    <n v="59"/>
    <n v="66"/>
    <n v="69"/>
  </r>
  <r>
    <x v="0"/>
    <x v="2"/>
    <x v="1"/>
    <n v="61"/>
    <x v="0"/>
    <x v="1"/>
    <n v="63"/>
    <n v="73"/>
    <n v="74"/>
  </r>
  <r>
    <x v="0"/>
    <x v="2"/>
    <x v="1"/>
    <n v="62"/>
    <x v="0"/>
    <x v="1"/>
    <n v="49"/>
    <n v="68"/>
    <n v="67"/>
  </r>
  <r>
    <x v="0"/>
    <x v="2"/>
    <x v="1"/>
    <n v="63"/>
    <x v="0"/>
    <x v="1"/>
    <n v="80"/>
    <n v="83"/>
    <n v="86"/>
  </r>
  <r>
    <x v="0"/>
    <x v="2"/>
    <x v="1"/>
    <n v="64"/>
    <x v="0"/>
    <x v="1"/>
    <n v="55"/>
    <n v="72"/>
    <n v="70"/>
  </r>
  <r>
    <x v="0"/>
    <x v="2"/>
    <x v="1"/>
    <n v="65"/>
    <x v="0"/>
    <x v="1"/>
    <n v="44"/>
    <n v="69"/>
    <n v="68"/>
  </r>
  <r>
    <x v="0"/>
    <x v="2"/>
    <x v="1"/>
    <n v="66"/>
    <x v="1"/>
    <x v="0"/>
    <n v="56"/>
    <n v="62"/>
    <n v="57"/>
  </r>
  <r>
    <x v="0"/>
    <x v="2"/>
    <x v="1"/>
    <n v="67"/>
    <x v="1"/>
    <x v="0"/>
    <n v="76"/>
    <n v="90"/>
    <n v="84"/>
  </r>
  <r>
    <x v="0"/>
    <x v="2"/>
    <x v="1"/>
    <n v="68"/>
    <x v="1"/>
    <x v="0"/>
    <n v="51"/>
    <n v="68"/>
    <n v="66"/>
  </r>
  <r>
    <x v="0"/>
    <x v="2"/>
    <x v="1"/>
    <n v="69"/>
    <x v="1"/>
    <x v="0"/>
    <n v="39"/>
    <n v="50"/>
    <n v="41"/>
  </r>
  <r>
    <x v="0"/>
    <x v="2"/>
    <x v="1"/>
    <n v="70"/>
    <x v="1"/>
    <x v="0"/>
    <n v="24"/>
    <n v="48"/>
    <n v="46"/>
  </r>
  <r>
    <x v="0"/>
    <x v="2"/>
    <x v="1"/>
    <n v="71"/>
    <x v="1"/>
    <x v="0"/>
    <n v="48"/>
    <n v="60"/>
    <n v="55"/>
  </r>
  <r>
    <x v="0"/>
    <x v="2"/>
    <x v="1"/>
    <n v="72"/>
    <x v="1"/>
    <x v="1"/>
    <n v="66"/>
    <n v="81"/>
    <n v="75"/>
  </r>
  <r>
    <x v="0"/>
    <x v="2"/>
    <x v="1"/>
    <n v="73"/>
    <x v="1"/>
    <x v="1"/>
    <n v="34"/>
    <n v="66"/>
    <n v="59"/>
  </r>
  <r>
    <x v="0"/>
    <x v="2"/>
    <x v="1"/>
    <n v="74"/>
    <x v="1"/>
    <x v="1"/>
    <n v="54"/>
    <n v="68"/>
    <n v="69"/>
  </r>
  <r>
    <x v="0"/>
    <x v="2"/>
    <x v="1"/>
    <n v="75"/>
    <x v="1"/>
    <x v="1"/>
    <n v="54"/>
    <n v="72"/>
    <n v="68"/>
  </r>
  <r>
    <x v="0"/>
    <x v="2"/>
    <x v="2"/>
    <n v="35"/>
    <x v="0"/>
    <x v="0"/>
    <n v="55"/>
    <n v="68"/>
    <n v="73"/>
  </r>
  <r>
    <x v="0"/>
    <x v="2"/>
    <x v="2"/>
    <n v="36"/>
    <x v="0"/>
    <x v="0"/>
    <n v="69"/>
    <n v="75"/>
    <n v="75"/>
  </r>
  <r>
    <x v="0"/>
    <x v="2"/>
    <x v="2"/>
    <n v="37"/>
    <x v="0"/>
    <x v="0"/>
    <n v="44"/>
    <n v="49"/>
    <n v="53"/>
  </r>
  <r>
    <x v="0"/>
    <x v="2"/>
    <x v="2"/>
    <n v="38"/>
    <x v="0"/>
    <x v="0"/>
    <n v="78"/>
    <n v="78"/>
    <n v="82"/>
  </r>
  <r>
    <x v="0"/>
    <x v="2"/>
    <x v="2"/>
    <n v="39"/>
    <x v="0"/>
    <x v="0"/>
    <n v="72"/>
    <n v="77"/>
    <n v="75"/>
  </r>
  <r>
    <x v="0"/>
    <x v="2"/>
    <x v="2"/>
    <n v="40"/>
    <x v="0"/>
    <x v="0"/>
    <n v="56"/>
    <n v="71"/>
    <n v="70"/>
  </r>
  <r>
    <x v="0"/>
    <x v="2"/>
    <x v="2"/>
    <n v="41"/>
    <x v="0"/>
    <x v="0"/>
    <n v="57"/>
    <n v="67"/>
    <n v="64"/>
  </r>
  <r>
    <x v="0"/>
    <x v="2"/>
    <x v="2"/>
    <n v="42"/>
    <x v="0"/>
    <x v="0"/>
    <n v="82"/>
    <n v="91"/>
    <n v="85"/>
  </r>
  <r>
    <x v="0"/>
    <x v="2"/>
    <x v="2"/>
    <n v="43"/>
    <x v="0"/>
    <x v="0"/>
    <n v="60"/>
    <n v="75"/>
    <n v="72"/>
  </r>
  <r>
    <x v="0"/>
    <x v="2"/>
    <x v="2"/>
    <n v="44"/>
    <x v="0"/>
    <x v="0"/>
    <n v="69"/>
    <n v="82"/>
    <n v="78"/>
  </r>
  <r>
    <x v="0"/>
    <x v="2"/>
    <x v="2"/>
    <n v="45"/>
    <x v="0"/>
    <x v="0"/>
    <n v="72"/>
    <n v="69"/>
    <n v="70"/>
  </r>
  <r>
    <x v="0"/>
    <x v="2"/>
    <x v="2"/>
    <n v="46"/>
    <x v="0"/>
    <x v="0"/>
    <n v="81"/>
    <n v="96"/>
    <n v="93"/>
  </r>
  <r>
    <x v="0"/>
    <x v="2"/>
    <x v="2"/>
    <n v="47"/>
    <x v="0"/>
    <x v="0"/>
    <n v="65"/>
    <n v="85"/>
    <n v="80"/>
  </r>
  <r>
    <x v="0"/>
    <x v="2"/>
    <x v="2"/>
    <n v="48"/>
    <x v="0"/>
    <x v="1"/>
    <n v="91"/>
    <n v="96"/>
    <n v="97"/>
  </r>
  <r>
    <x v="0"/>
    <x v="2"/>
    <x v="2"/>
    <n v="49"/>
    <x v="0"/>
    <x v="1"/>
    <n v="71"/>
    <n v="84"/>
    <n v="88"/>
  </r>
  <r>
    <x v="0"/>
    <x v="2"/>
    <x v="2"/>
    <n v="50"/>
    <x v="0"/>
    <x v="1"/>
    <n v="77"/>
    <n v="90"/>
    <n v="97"/>
  </r>
  <r>
    <x v="0"/>
    <x v="2"/>
    <x v="2"/>
    <n v="51"/>
    <x v="0"/>
    <x v="1"/>
    <n v="75"/>
    <n v="74"/>
    <n v="80"/>
  </r>
  <r>
    <x v="0"/>
    <x v="2"/>
    <x v="2"/>
    <n v="52"/>
    <x v="0"/>
    <x v="1"/>
    <n v="89"/>
    <n v="86"/>
    <n v="92"/>
  </r>
  <r>
    <x v="0"/>
    <x v="2"/>
    <x v="2"/>
    <n v="53"/>
    <x v="1"/>
    <x v="0"/>
    <n v="52"/>
    <n v="65"/>
    <n v="60"/>
  </r>
  <r>
    <x v="0"/>
    <x v="2"/>
    <x v="2"/>
    <n v="54"/>
    <x v="1"/>
    <x v="0"/>
    <n v="44"/>
    <n v="55"/>
    <n v="61"/>
  </r>
  <r>
    <x v="0"/>
    <x v="2"/>
    <x v="2"/>
    <n v="55"/>
    <x v="1"/>
    <x v="0"/>
    <n v="66"/>
    <n v="73"/>
    <n v="69"/>
  </r>
  <r>
    <x v="0"/>
    <x v="2"/>
    <x v="2"/>
    <n v="56"/>
    <x v="1"/>
    <x v="0"/>
    <n v="28"/>
    <n v="32"/>
    <n v="28"/>
  </r>
  <r>
    <x v="0"/>
    <x v="2"/>
    <x v="2"/>
    <n v="57"/>
    <x v="1"/>
    <x v="0"/>
    <n v="35"/>
    <n v="40"/>
    <n v="45"/>
  </r>
  <r>
    <x v="0"/>
    <x v="2"/>
    <x v="2"/>
    <n v="58"/>
    <x v="1"/>
    <x v="0"/>
    <n v="65"/>
    <n v="66"/>
    <n v="66"/>
  </r>
  <r>
    <x v="0"/>
    <x v="2"/>
    <x v="2"/>
    <n v="59"/>
    <x v="1"/>
    <x v="1"/>
    <n v="68"/>
    <n v="84"/>
    <n v="87"/>
  </r>
  <r>
    <x v="0"/>
    <x v="2"/>
    <x v="2"/>
    <n v="60"/>
    <x v="1"/>
    <x v="1"/>
    <n v="89"/>
    <n v="98"/>
    <n v="99"/>
  </r>
  <r>
    <x v="0"/>
    <x v="2"/>
    <x v="2"/>
    <n v="61"/>
    <x v="1"/>
    <x v="1"/>
    <n v="52"/>
    <n v="64"/>
    <n v="66"/>
  </r>
  <r>
    <x v="0"/>
    <x v="2"/>
    <x v="2"/>
    <n v="62"/>
    <x v="1"/>
    <x v="1"/>
    <n v="79"/>
    <n v="89"/>
    <n v="96"/>
  </r>
  <r>
    <x v="0"/>
    <x v="2"/>
    <x v="2"/>
    <n v="63"/>
    <x v="1"/>
    <x v="1"/>
    <n v="69"/>
    <n v="76"/>
    <n v="82"/>
  </r>
  <r>
    <x v="0"/>
    <x v="2"/>
    <x v="2"/>
    <n v="64"/>
    <x v="1"/>
    <x v="1"/>
    <n v="79"/>
    <n v="92"/>
    <n v="97"/>
  </r>
  <r>
    <x v="0"/>
    <x v="2"/>
    <x v="2"/>
    <n v="65"/>
    <x v="1"/>
    <x v="1"/>
    <n v="42"/>
    <n v="50"/>
    <n v="61"/>
  </r>
  <r>
    <x v="0"/>
    <x v="2"/>
    <x v="3"/>
    <n v="28"/>
    <x v="0"/>
    <x v="0"/>
    <n v="62"/>
    <n v="64"/>
    <n v="61"/>
  </r>
  <r>
    <x v="0"/>
    <x v="2"/>
    <x v="3"/>
    <n v="29"/>
    <x v="0"/>
    <x v="0"/>
    <n v="71"/>
    <n v="88"/>
    <n v="83"/>
  </r>
  <r>
    <x v="0"/>
    <x v="2"/>
    <x v="3"/>
    <n v="30"/>
    <x v="0"/>
    <x v="0"/>
    <n v="56"/>
    <n v="58"/>
    <n v="55"/>
  </r>
  <r>
    <x v="0"/>
    <x v="2"/>
    <x v="3"/>
    <n v="31"/>
    <x v="0"/>
    <x v="0"/>
    <n v="71"/>
    <n v="69"/>
    <n v="73"/>
  </r>
  <r>
    <x v="0"/>
    <x v="2"/>
    <x v="3"/>
    <n v="32"/>
    <x v="0"/>
    <x v="0"/>
    <n v="82"/>
    <n v="84"/>
    <n v="83"/>
  </r>
  <r>
    <x v="0"/>
    <x v="2"/>
    <x v="3"/>
    <n v="33"/>
    <x v="0"/>
    <x v="0"/>
    <n v="84"/>
    <n v="88"/>
    <n v="84"/>
  </r>
  <r>
    <x v="0"/>
    <x v="2"/>
    <x v="3"/>
    <n v="34"/>
    <x v="0"/>
    <x v="0"/>
    <n v="61"/>
    <n v="64"/>
    <n v="54"/>
  </r>
  <r>
    <x v="0"/>
    <x v="2"/>
    <x v="3"/>
    <n v="35"/>
    <x v="0"/>
    <x v="0"/>
    <n v="51"/>
    <n v="57"/>
    <n v="60"/>
  </r>
  <r>
    <x v="0"/>
    <x v="2"/>
    <x v="3"/>
    <n v="36"/>
    <x v="0"/>
    <x v="0"/>
    <n v="66"/>
    <n v="78"/>
    <n v="75"/>
  </r>
  <r>
    <x v="0"/>
    <x v="2"/>
    <x v="3"/>
    <n v="37"/>
    <x v="0"/>
    <x v="0"/>
    <n v="81"/>
    <n v="93"/>
    <n v="94"/>
  </r>
  <r>
    <x v="0"/>
    <x v="2"/>
    <x v="3"/>
    <n v="38"/>
    <x v="0"/>
    <x v="0"/>
    <n v="53"/>
    <n v="59"/>
    <n v="59"/>
  </r>
  <r>
    <x v="0"/>
    <x v="2"/>
    <x v="3"/>
    <n v="39"/>
    <x v="0"/>
    <x v="0"/>
    <n v="85"/>
    <n v="92"/>
    <n v="84"/>
  </r>
  <r>
    <x v="0"/>
    <x v="2"/>
    <x v="3"/>
    <n v="40"/>
    <x v="0"/>
    <x v="0"/>
    <n v="45"/>
    <n v="46"/>
    <n v="47"/>
  </r>
  <r>
    <x v="0"/>
    <x v="2"/>
    <x v="3"/>
    <n v="41"/>
    <x v="0"/>
    <x v="0"/>
    <n v="46"/>
    <n v="52"/>
    <n v="48"/>
  </r>
  <r>
    <x v="0"/>
    <x v="2"/>
    <x v="3"/>
    <n v="42"/>
    <x v="0"/>
    <x v="0"/>
    <n v="77"/>
    <n v="85"/>
    <n v="85"/>
  </r>
  <r>
    <x v="0"/>
    <x v="2"/>
    <x v="3"/>
    <n v="43"/>
    <x v="0"/>
    <x v="0"/>
    <n v="59"/>
    <n v="72"/>
    <n v="70"/>
  </r>
  <r>
    <x v="0"/>
    <x v="2"/>
    <x v="3"/>
    <n v="44"/>
    <x v="0"/>
    <x v="0"/>
    <n v="77"/>
    <n v="79"/>
    <n v="78"/>
  </r>
  <r>
    <x v="0"/>
    <x v="2"/>
    <x v="3"/>
    <n v="45"/>
    <x v="0"/>
    <x v="0"/>
    <n v="51"/>
    <n v="72"/>
    <n v="63"/>
  </r>
  <r>
    <x v="0"/>
    <x v="2"/>
    <x v="3"/>
    <n v="46"/>
    <x v="0"/>
    <x v="0"/>
    <n v="79"/>
    <n v="93"/>
    <n v="81"/>
  </r>
  <r>
    <x v="0"/>
    <x v="2"/>
    <x v="3"/>
    <n v="47"/>
    <x v="0"/>
    <x v="1"/>
    <n v="73"/>
    <n v="86"/>
    <n v="89"/>
  </r>
  <r>
    <x v="0"/>
    <x v="2"/>
    <x v="3"/>
    <n v="48"/>
    <x v="0"/>
    <x v="1"/>
    <n v="84"/>
    <n v="88"/>
    <n v="87"/>
  </r>
  <r>
    <x v="0"/>
    <x v="2"/>
    <x v="3"/>
    <n v="49"/>
    <x v="0"/>
    <x v="1"/>
    <n v="81"/>
    <n v="90"/>
    <n v="93"/>
  </r>
  <r>
    <x v="0"/>
    <x v="2"/>
    <x v="3"/>
    <n v="50"/>
    <x v="0"/>
    <x v="1"/>
    <n v="67"/>
    <n v="74"/>
    <n v="81"/>
  </r>
  <r>
    <x v="0"/>
    <x v="2"/>
    <x v="3"/>
    <n v="51"/>
    <x v="0"/>
    <x v="1"/>
    <n v="59"/>
    <n v="66"/>
    <n v="71"/>
  </r>
  <r>
    <x v="0"/>
    <x v="2"/>
    <x v="3"/>
    <n v="52"/>
    <x v="0"/>
    <x v="1"/>
    <n v="80"/>
    <n v="88"/>
    <n v="90"/>
  </r>
  <r>
    <x v="0"/>
    <x v="2"/>
    <x v="3"/>
    <n v="53"/>
    <x v="1"/>
    <x v="0"/>
    <n v="35"/>
    <n v="47"/>
    <n v="41"/>
  </r>
  <r>
    <x v="0"/>
    <x v="2"/>
    <x v="3"/>
    <n v="54"/>
    <x v="1"/>
    <x v="0"/>
    <n v="43"/>
    <n v="58"/>
    <n v="60"/>
  </r>
  <r>
    <x v="0"/>
    <x v="2"/>
    <x v="3"/>
    <n v="55"/>
    <x v="1"/>
    <x v="0"/>
    <n v="43"/>
    <n v="65"/>
    <n v="60"/>
  </r>
  <r>
    <x v="0"/>
    <x v="2"/>
    <x v="3"/>
    <n v="56"/>
    <x v="1"/>
    <x v="0"/>
    <n v="68"/>
    <n v="64"/>
    <n v="64"/>
  </r>
  <r>
    <x v="0"/>
    <x v="2"/>
    <x v="3"/>
    <n v="57"/>
    <x v="1"/>
    <x v="0"/>
    <n v="70"/>
    <n v="81"/>
    <n v="76"/>
  </r>
  <r>
    <x v="0"/>
    <x v="2"/>
    <x v="3"/>
    <n v="58"/>
    <x v="1"/>
    <x v="0"/>
    <n v="62"/>
    <n v="74"/>
    <n v="74"/>
  </r>
  <r>
    <x v="0"/>
    <x v="2"/>
    <x v="3"/>
    <n v="59"/>
    <x v="1"/>
    <x v="1"/>
    <n v="41"/>
    <n v="59"/>
    <n v="56"/>
  </r>
  <r>
    <x v="0"/>
    <x v="2"/>
    <x v="3"/>
    <n v="60"/>
    <x v="1"/>
    <x v="1"/>
    <n v="60"/>
    <n v="80"/>
    <n v="76"/>
  </r>
  <r>
    <x v="0"/>
    <x v="2"/>
    <x v="3"/>
    <n v="61"/>
    <x v="1"/>
    <x v="1"/>
    <n v="44"/>
    <n v="44"/>
    <n v="53"/>
  </r>
  <r>
    <x v="0"/>
    <x v="2"/>
    <x v="3"/>
    <n v="62"/>
    <x v="1"/>
    <x v="1"/>
    <n v="62"/>
    <n v="78"/>
    <n v="71"/>
  </r>
  <r>
    <x v="0"/>
    <x v="2"/>
    <x v="3"/>
    <n v="63"/>
    <x v="1"/>
    <x v="1"/>
    <n v="67"/>
    <n v="89"/>
    <n v="89"/>
  </r>
  <r>
    <x v="0"/>
    <x v="2"/>
    <x v="3"/>
    <n v="64"/>
    <x v="1"/>
    <x v="1"/>
    <n v="64"/>
    <n v="81"/>
    <n v="87"/>
  </r>
  <r>
    <x v="0"/>
    <x v="2"/>
    <x v="4"/>
    <n v="18"/>
    <x v="0"/>
    <x v="0"/>
    <n v="79"/>
    <n v="86"/>
    <n v="78"/>
  </r>
  <r>
    <x v="0"/>
    <x v="2"/>
    <x v="4"/>
    <n v="19"/>
    <x v="0"/>
    <x v="0"/>
    <n v="63"/>
    <n v="74"/>
    <n v="75"/>
  </r>
  <r>
    <x v="0"/>
    <x v="2"/>
    <x v="4"/>
    <n v="20"/>
    <x v="0"/>
    <x v="0"/>
    <n v="64"/>
    <n v="82"/>
    <n v="80"/>
  </r>
  <r>
    <x v="0"/>
    <x v="2"/>
    <x v="4"/>
    <n v="21"/>
    <x v="0"/>
    <x v="0"/>
    <n v="67"/>
    <n v="72"/>
    <n v="72"/>
  </r>
  <r>
    <x v="0"/>
    <x v="2"/>
    <x v="4"/>
    <n v="22"/>
    <x v="0"/>
    <x v="0"/>
    <n v="58"/>
    <n v="70"/>
    <n v="72"/>
  </r>
  <r>
    <x v="0"/>
    <x v="2"/>
    <x v="4"/>
    <n v="23"/>
    <x v="0"/>
    <x v="0"/>
    <n v="61"/>
    <n v="66"/>
    <n v="71"/>
  </r>
  <r>
    <x v="0"/>
    <x v="2"/>
    <x v="4"/>
    <n v="24"/>
    <x v="0"/>
    <x v="1"/>
    <n v="57"/>
    <n v="69"/>
    <n v="77"/>
  </r>
  <r>
    <x v="0"/>
    <x v="2"/>
    <x v="4"/>
    <n v="25"/>
    <x v="0"/>
    <x v="1"/>
    <n v="74"/>
    <n v="79"/>
    <n v="84"/>
  </r>
  <r>
    <x v="0"/>
    <x v="2"/>
    <x v="4"/>
    <n v="26"/>
    <x v="0"/>
    <x v="1"/>
    <n v="92"/>
    <n v="88"/>
    <n v="94"/>
  </r>
  <r>
    <x v="0"/>
    <x v="2"/>
    <x v="4"/>
    <n v="27"/>
    <x v="1"/>
    <x v="0"/>
    <n v="69"/>
    <n v="78"/>
    <n v="78"/>
  </r>
  <r>
    <x v="0"/>
    <x v="2"/>
    <x v="4"/>
    <n v="28"/>
    <x v="1"/>
    <x v="0"/>
    <n v="55"/>
    <n v="56"/>
    <n v="54"/>
  </r>
  <r>
    <x v="0"/>
    <x v="2"/>
    <x v="4"/>
    <n v="29"/>
    <x v="1"/>
    <x v="1"/>
    <n v="62"/>
    <n v="68"/>
    <n v="74"/>
  </r>
  <r>
    <x v="0"/>
    <x v="2"/>
    <x v="4"/>
    <n v="30"/>
    <x v="1"/>
    <x v="1"/>
    <n v="54"/>
    <n v="57"/>
    <n v="63"/>
  </r>
  <r>
    <x v="0"/>
    <x v="2"/>
    <x v="4"/>
    <n v="31"/>
    <x v="1"/>
    <x v="1"/>
    <n v="68"/>
    <n v="78"/>
    <n v="83"/>
  </r>
  <r>
    <x v="0"/>
    <x v="2"/>
    <x v="4"/>
    <n v="32"/>
    <x v="1"/>
    <x v="1"/>
    <n v="44"/>
    <n v="45"/>
    <n v="52"/>
  </r>
  <r>
    <x v="0"/>
    <x v="2"/>
    <x v="5"/>
    <n v="7"/>
    <x v="0"/>
    <x v="0"/>
    <n v="67"/>
    <n v="78"/>
    <n v="80"/>
  </r>
  <r>
    <x v="0"/>
    <x v="2"/>
    <x v="5"/>
    <n v="8"/>
    <x v="0"/>
    <x v="0"/>
    <n v="75"/>
    <n v="82"/>
    <n v="81"/>
  </r>
  <r>
    <x v="0"/>
    <x v="2"/>
    <x v="5"/>
    <n v="9"/>
    <x v="0"/>
    <x v="0"/>
    <n v="70"/>
    <n v="81"/>
    <n v="75"/>
  </r>
  <r>
    <x v="0"/>
    <x v="2"/>
    <x v="5"/>
    <n v="10"/>
    <x v="0"/>
    <x v="0"/>
    <n v="59"/>
    <n v="64"/>
    <n v="64"/>
  </r>
  <r>
    <x v="0"/>
    <x v="2"/>
    <x v="5"/>
    <n v="11"/>
    <x v="0"/>
    <x v="0"/>
    <n v="69"/>
    <n v="76"/>
    <n v="71"/>
  </r>
  <r>
    <x v="0"/>
    <x v="2"/>
    <x v="5"/>
    <n v="12"/>
    <x v="0"/>
    <x v="1"/>
    <n v="50"/>
    <n v="64"/>
    <n v="63"/>
  </r>
  <r>
    <x v="0"/>
    <x v="2"/>
    <x v="5"/>
    <n v="13"/>
    <x v="0"/>
    <x v="1"/>
    <n v="66"/>
    <n v="70"/>
    <n v="83"/>
  </r>
  <r>
    <x v="0"/>
    <x v="2"/>
    <x v="5"/>
    <n v="14"/>
    <x v="0"/>
    <x v="1"/>
    <n v="65"/>
    <n v="84"/>
    <n v="86"/>
  </r>
  <r>
    <x v="0"/>
    <x v="2"/>
    <x v="5"/>
    <n v="15"/>
    <x v="0"/>
    <x v="1"/>
    <n v="62"/>
    <n v="68"/>
    <n v="75"/>
  </r>
  <r>
    <x v="0"/>
    <x v="2"/>
    <x v="5"/>
    <n v="16"/>
    <x v="0"/>
    <x v="1"/>
    <n v="79"/>
    <n v="87"/>
    <n v="89"/>
  </r>
  <r>
    <x v="0"/>
    <x v="2"/>
    <x v="5"/>
    <n v="17"/>
    <x v="0"/>
    <x v="1"/>
    <n v="83"/>
    <n v="86"/>
    <n v="90"/>
  </r>
  <r>
    <x v="0"/>
    <x v="2"/>
    <x v="5"/>
    <n v="18"/>
    <x v="0"/>
    <x v="1"/>
    <n v="79"/>
    <n v="92"/>
    <n v="87"/>
  </r>
  <r>
    <x v="0"/>
    <x v="2"/>
    <x v="5"/>
    <n v="19"/>
    <x v="1"/>
    <x v="0"/>
    <n v="43"/>
    <n v="57"/>
    <n v="59"/>
  </r>
  <r>
    <x v="0"/>
    <x v="2"/>
    <x v="5"/>
    <n v="20"/>
    <x v="1"/>
    <x v="1"/>
    <n v="71"/>
    <n v="92"/>
    <n v="93"/>
  </r>
  <r>
    <x v="0"/>
    <x v="3"/>
    <x v="0"/>
    <n v="49"/>
    <x v="0"/>
    <x v="0"/>
    <n v="74"/>
    <n v="75"/>
    <n v="74"/>
  </r>
  <r>
    <x v="0"/>
    <x v="3"/>
    <x v="0"/>
    <n v="50"/>
    <x v="0"/>
    <x v="0"/>
    <n v="74"/>
    <n v="79"/>
    <n v="79"/>
  </r>
  <r>
    <x v="0"/>
    <x v="3"/>
    <x v="0"/>
    <n v="51"/>
    <x v="0"/>
    <x v="0"/>
    <n v="82"/>
    <n v="77"/>
    <n v="80"/>
  </r>
  <r>
    <x v="0"/>
    <x v="3"/>
    <x v="0"/>
    <n v="52"/>
    <x v="0"/>
    <x v="0"/>
    <n v="52"/>
    <n v="66"/>
    <n v="63"/>
  </r>
  <r>
    <x v="0"/>
    <x v="3"/>
    <x v="0"/>
    <n v="53"/>
    <x v="0"/>
    <x v="0"/>
    <n v="25"/>
    <n v="33"/>
    <n v="32"/>
  </r>
  <r>
    <x v="0"/>
    <x v="3"/>
    <x v="0"/>
    <n v="54"/>
    <x v="0"/>
    <x v="0"/>
    <n v="83"/>
    <n v="92"/>
    <n v="93"/>
  </r>
  <r>
    <x v="0"/>
    <x v="3"/>
    <x v="0"/>
    <n v="55"/>
    <x v="0"/>
    <x v="0"/>
    <n v="62"/>
    <n v="68"/>
    <n v="65"/>
  </r>
  <r>
    <x v="0"/>
    <x v="3"/>
    <x v="0"/>
    <n v="56"/>
    <x v="0"/>
    <x v="0"/>
    <n v="53"/>
    <n v="55"/>
    <n v="57"/>
  </r>
  <r>
    <x v="0"/>
    <x v="3"/>
    <x v="0"/>
    <n v="57"/>
    <x v="0"/>
    <x v="1"/>
    <n v="48"/>
    <n v="68"/>
    <n v="68"/>
  </r>
  <r>
    <x v="0"/>
    <x v="3"/>
    <x v="0"/>
    <n v="58"/>
    <x v="0"/>
    <x v="1"/>
    <n v="83"/>
    <n v="95"/>
    <n v="97"/>
  </r>
  <r>
    <x v="0"/>
    <x v="3"/>
    <x v="0"/>
    <n v="59"/>
    <x v="0"/>
    <x v="1"/>
    <n v="94"/>
    <n v="91"/>
    <n v="98"/>
  </r>
  <r>
    <x v="0"/>
    <x v="3"/>
    <x v="0"/>
    <n v="60"/>
    <x v="0"/>
    <x v="1"/>
    <n v="54"/>
    <n v="77"/>
    <n v="78"/>
  </r>
  <r>
    <x v="0"/>
    <x v="3"/>
    <x v="0"/>
    <n v="61"/>
    <x v="0"/>
    <x v="1"/>
    <n v="69"/>
    <n v="86"/>
    <n v="87"/>
  </r>
  <r>
    <x v="0"/>
    <x v="3"/>
    <x v="0"/>
    <n v="62"/>
    <x v="0"/>
    <x v="1"/>
    <n v="77"/>
    <n v="83"/>
    <n v="84"/>
  </r>
  <r>
    <x v="0"/>
    <x v="3"/>
    <x v="0"/>
    <n v="63"/>
    <x v="1"/>
    <x v="0"/>
    <n v="60"/>
    <n v="69"/>
    <n v="70"/>
  </r>
  <r>
    <x v="0"/>
    <x v="3"/>
    <x v="0"/>
    <n v="64"/>
    <x v="1"/>
    <x v="0"/>
    <n v="58"/>
    <n v="63"/>
    <n v="65"/>
  </r>
  <r>
    <x v="0"/>
    <x v="3"/>
    <x v="0"/>
    <n v="65"/>
    <x v="1"/>
    <x v="0"/>
    <n v="30"/>
    <n v="59"/>
    <n v="51"/>
  </r>
  <r>
    <x v="0"/>
    <x v="3"/>
    <x v="0"/>
    <n v="66"/>
    <x v="1"/>
    <x v="1"/>
    <n v="41"/>
    <n v="58"/>
    <n v="59"/>
  </r>
  <r>
    <x v="0"/>
    <x v="3"/>
    <x v="0"/>
    <n v="67"/>
    <x v="1"/>
    <x v="1"/>
    <n v="64"/>
    <n v="84"/>
    <n v="83"/>
  </r>
  <r>
    <x v="0"/>
    <x v="3"/>
    <x v="0"/>
    <n v="68"/>
    <x v="1"/>
    <x v="1"/>
    <n v="49"/>
    <n v="69"/>
    <n v="68"/>
  </r>
  <r>
    <x v="0"/>
    <x v="3"/>
    <x v="0"/>
    <n v="69"/>
    <x v="1"/>
    <x v="1"/>
    <n v="64"/>
    <n v="75"/>
    <n v="81"/>
  </r>
  <r>
    <x v="0"/>
    <x v="3"/>
    <x v="0"/>
    <n v="70"/>
    <x v="1"/>
    <x v="1"/>
    <n v="62"/>
    <n v="75"/>
    <n v="79"/>
  </r>
  <r>
    <x v="0"/>
    <x v="3"/>
    <x v="1"/>
    <n v="76"/>
    <x v="0"/>
    <x v="0"/>
    <n v="59"/>
    <n v="69"/>
    <n v="64"/>
  </r>
  <r>
    <x v="0"/>
    <x v="3"/>
    <x v="1"/>
    <n v="77"/>
    <x v="0"/>
    <x v="0"/>
    <n v="58"/>
    <n v="66"/>
    <n v="70"/>
  </r>
  <r>
    <x v="0"/>
    <x v="3"/>
    <x v="1"/>
    <n v="78"/>
    <x v="0"/>
    <x v="0"/>
    <n v="77"/>
    <n v="90"/>
    <n v="82"/>
  </r>
  <r>
    <x v="0"/>
    <x v="3"/>
    <x v="1"/>
    <n v="79"/>
    <x v="0"/>
    <x v="0"/>
    <n v="44"/>
    <n v="47"/>
    <n v="55"/>
  </r>
  <r>
    <x v="0"/>
    <x v="3"/>
    <x v="1"/>
    <n v="80"/>
    <x v="0"/>
    <x v="0"/>
    <n v="53"/>
    <n v="66"/>
    <n v="64"/>
  </r>
  <r>
    <x v="0"/>
    <x v="3"/>
    <x v="1"/>
    <n v="81"/>
    <x v="0"/>
    <x v="0"/>
    <n v="54"/>
    <n v="62"/>
    <n v="62"/>
  </r>
  <r>
    <x v="0"/>
    <x v="3"/>
    <x v="1"/>
    <n v="82"/>
    <x v="0"/>
    <x v="0"/>
    <n v="74"/>
    <n v="82"/>
    <n v="81"/>
  </r>
  <r>
    <x v="0"/>
    <x v="3"/>
    <x v="1"/>
    <n v="83"/>
    <x v="0"/>
    <x v="1"/>
    <n v="92"/>
    <n v="95"/>
    <n v="93"/>
  </r>
  <r>
    <x v="0"/>
    <x v="3"/>
    <x v="1"/>
    <n v="84"/>
    <x v="0"/>
    <x v="1"/>
    <n v="91"/>
    <n v="100"/>
    <n v="100"/>
  </r>
  <r>
    <x v="0"/>
    <x v="3"/>
    <x v="1"/>
    <n v="85"/>
    <x v="0"/>
    <x v="1"/>
    <n v="63"/>
    <n v="78"/>
    <n v="74"/>
  </r>
  <r>
    <x v="0"/>
    <x v="3"/>
    <x v="1"/>
    <n v="86"/>
    <x v="0"/>
    <x v="1"/>
    <n v="50"/>
    <n v="72"/>
    <n v="70"/>
  </r>
  <r>
    <x v="0"/>
    <x v="3"/>
    <x v="1"/>
    <n v="87"/>
    <x v="0"/>
    <x v="1"/>
    <n v="85"/>
    <n v="98"/>
    <n v="99"/>
  </r>
  <r>
    <x v="0"/>
    <x v="3"/>
    <x v="1"/>
    <n v="88"/>
    <x v="0"/>
    <x v="1"/>
    <n v="75"/>
    <n v="74"/>
    <n v="75"/>
  </r>
  <r>
    <x v="0"/>
    <x v="3"/>
    <x v="1"/>
    <n v="89"/>
    <x v="1"/>
    <x v="0"/>
    <n v="47"/>
    <n v="66"/>
    <n v="66"/>
  </r>
  <r>
    <x v="0"/>
    <x v="3"/>
    <x v="1"/>
    <n v="90"/>
    <x v="1"/>
    <x v="0"/>
    <n v="42"/>
    <n v="61"/>
    <n v="63"/>
  </r>
  <r>
    <x v="0"/>
    <x v="3"/>
    <x v="1"/>
    <n v="91"/>
    <x v="1"/>
    <x v="0"/>
    <n v="54"/>
    <n v="58"/>
    <n v="63"/>
  </r>
  <r>
    <x v="0"/>
    <x v="3"/>
    <x v="1"/>
    <n v="92"/>
    <x v="1"/>
    <x v="0"/>
    <n v="75"/>
    <n v="81"/>
    <n v="87"/>
  </r>
  <r>
    <x v="0"/>
    <x v="3"/>
    <x v="1"/>
    <n v="93"/>
    <x v="1"/>
    <x v="0"/>
    <n v="15"/>
    <n v="39"/>
    <n v="40"/>
  </r>
  <r>
    <x v="0"/>
    <x v="3"/>
    <x v="1"/>
    <n v="94"/>
    <x v="1"/>
    <x v="0"/>
    <n v="68"/>
    <n v="73"/>
    <n v="71"/>
  </r>
  <r>
    <x v="0"/>
    <x v="3"/>
    <x v="1"/>
    <n v="95"/>
    <x v="1"/>
    <x v="1"/>
    <n v="72"/>
    <n v="76"/>
    <n v="78"/>
  </r>
  <r>
    <x v="0"/>
    <x v="3"/>
    <x v="1"/>
    <n v="96"/>
    <x v="1"/>
    <x v="1"/>
    <n v="67"/>
    <n v="75"/>
    <n v="84"/>
  </r>
  <r>
    <x v="0"/>
    <x v="3"/>
    <x v="1"/>
    <n v="97"/>
    <x v="1"/>
    <x v="1"/>
    <n v="78"/>
    <n v="86"/>
    <n v="88"/>
  </r>
  <r>
    <x v="0"/>
    <x v="3"/>
    <x v="1"/>
    <n v="98"/>
    <x v="1"/>
    <x v="1"/>
    <n v="39"/>
    <n v="52"/>
    <n v="58"/>
  </r>
  <r>
    <x v="0"/>
    <x v="3"/>
    <x v="2"/>
    <n v="66"/>
    <x v="0"/>
    <x v="0"/>
    <n v="83"/>
    <n v="85"/>
    <n v="86"/>
  </r>
  <r>
    <x v="0"/>
    <x v="3"/>
    <x v="2"/>
    <n v="67"/>
    <x v="0"/>
    <x v="0"/>
    <n v="61"/>
    <n v="56"/>
    <n v="60"/>
  </r>
  <r>
    <x v="0"/>
    <x v="3"/>
    <x v="2"/>
    <n v="68"/>
    <x v="0"/>
    <x v="0"/>
    <n v="70"/>
    <n v="79"/>
    <n v="76"/>
  </r>
  <r>
    <x v="0"/>
    <x v="3"/>
    <x v="2"/>
    <n v="69"/>
    <x v="0"/>
    <x v="0"/>
    <n v="42"/>
    <n v="48"/>
    <n v="42"/>
  </r>
  <r>
    <x v="0"/>
    <x v="3"/>
    <x v="2"/>
    <n v="70"/>
    <x v="0"/>
    <x v="0"/>
    <n v="40"/>
    <n v="51"/>
    <n v="51"/>
  </r>
  <r>
    <x v="0"/>
    <x v="3"/>
    <x v="2"/>
    <n v="71"/>
    <x v="0"/>
    <x v="0"/>
    <n v="84"/>
    <n v="90"/>
    <n v="90"/>
  </r>
  <r>
    <x v="0"/>
    <x v="3"/>
    <x v="2"/>
    <n v="72"/>
    <x v="0"/>
    <x v="0"/>
    <n v="61"/>
    <n v="70"/>
    <n v="73"/>
  </r>
  <r>
    <x v="0"/>
    <x v="3"/>
    <x v="2"/>
    <n v="73"/>
    <x v="0"/>
    <x v="0"/>
    <n v="75"/>
    <n v="87"/>
    <n v="90"/>
  </r>
  <r>
    <x v="0"/>
    <x v="3"/>
    <x v="2"/>
    <n v="74"/>
    <x v="0"/>
    <x v="0"/>
    <n v="66"/>
    <n v="72"/>
    <n v="74"/>
  </r>
  <r>
    <x v="0"/>
    <x v="3"/>
    <x v="2"/>
    <n v="75"/>
    <x v="0"/>
    <x v="0"/>
    <n v="67"/>
    <n v="67"/>
    <n v="67"/>
  </r>
  <r>
    <x v="0"/>
    <x v="3"/>
    <x v="2"/>
    <n v="76"/>
    <x v="0"/>
    <x v="0"/>
    <n v="63"/>
    <n v="69"/>
    <n v="66"/>
  </r>
  <r>
    <x v="0"/>
    <x v="3"/>
    <x v="2"/>
    <n v="77"/>
    <x v="0"/>
    <x v="0"/>
    <n v="84"/>
    <n v="92"/>
    <n v="90"/>
  </r>
  <r>
    <x v="0"/>
    <x v="3"/>
    <x v="2"/>
    <n v="78"/>
    <x v="0"/>
    <x v="1"/>
    <n v="65"/>
    <n v="71"/>
    <n v="74"/>
  </r>
  <r>
    <x v="0"/>
    <x v="3"/>
    <x v="2"/>
    <n v="79"/>
    <x v="0"/>
    <x v="1"/>
    <n v="67"/>
    <n v="71"/>
    <n v="76"/>
  </r>
  <r>
    <x v="0"/>
    <x v="3"/>
    <x v="2"/>
    <n v="80"/>
    <x v="0"/>
    <x v="1"/>
    <n v="82"/>
    <n v="85"/>
    <n v="94"/>
  </r>
  <r>
    <x v="0"/>
    <x v="3"/>
    <x v="2"/>
    <n v="81"/>
    <x v="0"/>
    <x v="1"/>
    <n v="73"/>
    <n v="87"/>
    <n v="83"/>
  </r>
  <r>
    <x v="0"/>
    <x v="3"/>
    <x v="2"/>
    <n v="82"/>
    <x v="0"/>
    <x v="1"/>
    <n v="82"/>
    <n v="95"/>
    <n v="100"/>
  </r>
  <r>
    <x v="0"/>
    <x v="3"/>
    <x v="2"/>
    <n v="83"/>
    <x v="1"/>
    <x v="0"/>
    <n v="68"/>
    <n v="76"/>
    <n v="79"/>
  </r>
  <r>
    <x v="0"/>
    <x v="3"/>
    <x v="2"/>
    <n v="84"/>
    <x v="1"/>
    <x v="0"/>
    <n v="62"/>
    <n v="65"/>
    <n v="69"/>
  </r>
  <r>
    <x v="0"/>
    <x v="3"/>
    <x v="2"/>
    <n v="85"/>
    <x v="1"/>
    <x v="0"/>
    <n v="45"/>
    <n v="61"/>
    <n v="57"/>
  </r>
  <r>
    <x v="0"/>
    <x v="3"/>
    <x v="2"/>
    <n v="86"/>
    <x v="1"/>
    <x v="0"/>
    <n v="39"/>
    <n v="65"/>
    <n v="64"/>
  </r>
  <r>
    <x v="0"/>
    <x v="3"/>
    <x v="2"/>
    <n v="87"/>
    <x v="1"/>
    <x v="0"/>
    <n v="71"/>
    <n v="78"/>
    <n v="81"/>
  </r>
  <r>
    <x v="0"/>
    <x v="3"/>
    <x v="2"/>
    <n v="88"/>
    <x v="1"/>
    <x v="1"/>
    <n v="64"/>
    <n v="67"/>
    <n v="75"/>
  </r>
  <r>
    <x v="0"/>
    <x v="3"/>
    <x v="2"/>
    <n v="89"/>
    <x v="1"/>
    <x v="1"/>
    <n v="73"/>
    <n v="72"/>
    <n v="79"/>
  </r>
  <r>
    <x v="0"/>
    <x v="3"/>
    <x v="2"/>
    <n v="90"/>
    <x v="1"/>
    <x v="1"/>
    <n v="47"/>
    <n v="58"/>
    <n v="56"/>
  </r>
  <r>
    <x v="0"/>
    <x v="3"/>
    <x v="3"/>
    <n v="65"/>
    <x v="0"/>
    <x v="0"/>
    <n v="73"/>
    <n v="89"/>
    <n v="89"/>
  </r>
  <r>
    <x v="0"/>
    <x v="3"/>
    <x v="3"/>
    <n v="66"/>
    <x v="0"/>
    <x v="0"/>
    <n v="75"/>
    <n v="75"/>
    <n v="78"/>
  </r>
  <r>
    <x v="0"/>
    <x v="3"/>
    <x v="3"/>
    <n v="67"/>
    <x v="0"/>
    <x v="0"/>
    <n v="62"/>
    <n v="62"/>
    <n v="68"/>
  </r>
  <r>
    <x v="0"/>
    <x v="3"/>
    <x v="3"/>
    <n v="68"/>
    <x v="0"/>
    <x v="0"/>
    <n v="74"/>
    <n v="79"/>
    <n v="73"/>
  </r>
  <r>
    <x v="0"/>
    <x v="3"/>
    <x v="3"/>
    <n v="69"/>
    <x v="0"/>
    <x v="0"/>
    <n v="71"/>
    <n v="74"/>
    <n v="80"/>
  </r>
  <r>
    <x v="0"/>
    <x v="3"/>
    <x v="3"/>
    <n v="70"/>
    <x v="0"/>
    <x v="0"/>
    <n v="71"/>
    <n v="71"/>
    <n v="76"/>
  </r>
  <r>
    <x v="0"/>
    <x v="3"/>
    <x v="3"/>
    <n v="71"/>
    <x v="0"/>
    <x v="0"/>
    <n v="56"/>
    <n v="53"/>
    <n v="58"/>
  </r>
  <r>
    <x v="0"/>
    <x v="3"/>
    <x v="3"/>
    <n v="72"/>
    <x v="0"/>
    <x v="0"/>
    <n v="58"/>
    <n v="62"/>
    <n v="63"/>
  </r>
  <r>
    <x v="0"/>
    <x v="3"/>
    <x v="3"/>
    <n v="73"/>
    <x v="0"/>
    <x v="0"/>
    <n v="84"/>
    <n v="97"/>
    <n v="96"/>
  </r>
  <r>
    <x v="0"/>
    <x v="3"/>
    <x v="3"/>
    <n v="74"/>
    <x v="0"/>
    <x v="0"/>
    <n v="68"/>
    <n v="76"/>
    <n v="79"/>
  </r>
  <r>
    <x v="0"/>
    <x v="3"/>
    <x v="3"/>
    <n v="75"/>
    <x v="0"/>
    <x v="0"/>
    <n v="74"/>
    <n v="81"/>
    <n v="82"/>
  </r>
  <r>
    <x v="0"/>
    <x v="3"/>
    <x v="3"/>
    <n v="76"/>
    <x v="0"/>
    <x v="0"/>
    <n v="66"/>
    <n v="70"/>
    <n v="67"/>
  </r>
  <r>
    <x v="0"/>
    <x v="3"/>
    <x v="3"/>
    <n v="77"/>
    <x v="0"/>
    <x v="1"/>
    <n v="59"/>
    <n v="70"/>
    <n v="78"/>
  </r>
  <r>
    <x v="0"/>
    <x v="3"/>
    <x v="3"/>
    <n v="78"/>
    <x v="0"/>
    <x v="1"/>
    <n v="68"/>
    <n v="84"/>
    <n v="87"/>
  </r>
  <r>
    <x v="0"/>
    <x v="3"/>
    <x v="3"/>
    <n v="79"/>
    <x v="0"/>
    <x v="1"/>
    <n v="61"/>
    <n v="63"/>
    <n v="70"/>
  </r>
  <r>
    <x v="0"/>
    <x v="3"/>
    <x v="3"/>
    <n v="80"/>
    <x v="0"/>
    <x v="1"/>
    <n v="81"/>
    <n v="93"/>
    <n v="94"/>
  </r>
  <r>
    <x v="0"/>
    <x v="3"/>
    <x v="3"/>
    <n v="81"/>
    <x v="0"/>
    <x v="1"/>
    <n v="81"/>
    <n v="99"/>
    <n v="96"/>
  </r>
  <r>
    <x v="0"/>
    <x v="3"/>
    <x v="3"/>
    <n v="82"/>
    <x v="1"/>
    <x v="0"/>
    <n v="57"/>
    <n v="76"/>
    <n v="77"/>
  </r>
  <r>
    <x v="0"/>
    <x v="3"/>
    <x v="3"/>
    <n v="83"/>
    <x v="1"/>
    <x v="0"/>
    <n v="71"/>
    <n v="83"/>
    <n v="80"/>
  </r>
  <r>
    <x v="0"/>
    <x v="3"/>
    <x v="3"/>
    <n v="84"/>
    <x v="1"/>
    <x v="0"/>
    <n v="50"/>
    <n v="66"/>
    <n v="66"/>
  </r>
  <r>
    <x v="0"/>
    <x v="3"/>
    <x v="3"/>
    <n v="85"/>
    <x v="1"/>
    <x v="0"/>
    <n v="43"/>
    <n v="48"/>
    <n v="53"/>
  </r>
  <r>
    <x v="0"/>
    <x v="3"/>
    <x v="3"/>
    <n v="86"/>
    <x v="1"/>
    <x v="0"/>
    <n v="41"/>
    <n v="58"/>
    <n v="60"/>
  </r>
  <r>
    <x v="0"/>
    <x v="3"/>
    <x v="3"/>
    <n v="87"/>
    <x v="1"/>
    <x v="0"/>
    <n v="36"/>
    <n v="45"/>
    <n v="44"/>
  </r>
  <r>
    <x v="0"/>
    <x v="3"/>
    <x v="3"/>
    <n v="88"/>
    <x v="1"/>
    <x v="1"/>
    <n v="64"/>
    <n v="82"/>
    <n v="80"/>
  </r>
  <r>
    <x v="0"/>
    <x v="3"/>
    <x v="3"/>
    <n v="89"/>
    <x v="1"/>
    <x v="1"/>
    <n v="64"/>
    <n v="66"/>
    <n v="62"/>
  </r>
  <r>
    <x v="0"/>
    <x v="3"/>
    <x v="3"/>
    <n v="90"/>
    <x v="1"/>
    <x v="1"/>
    <n v="66"/>
    <n v="71"/>
    <n v="87"/>
  </r>
  <r>
    <x v="0"/>
    <x v="3"/>
    <x v="4"/>
    <n v="33"/>
    <x v="0"/>
    <x v="0"/>
    <n v="78"/>
    <n v="80"/>
    <n v="79"/>
  </r>
  <r>
    <x v="0"/>
    <x v="3"/>
    <x v="4"/>
    <n v="34"/>
    <x v="0"/>
    <x v="0"/>
    <n v="58"/>
    <n v="61"/>
    <n v="59"/>
  </r>
  <r>
    <x v="0"/>
    <x v="3"/>
    <x v="4"/>
    <n v="35"/>
    <x v="0"/>
    <x v="0"/>
    <n v="41"/>
    <n v="51"/>
    <n v="53"/>
  </r>
  <r>
    <x v="0"/>
    <x v="3"/>
    <x v="4"/>
    <n v="36"/>
    <x v="0"/>
    <x v="1"/>
    <n v="60"/>
    <n v="74"/>
    <n v="72"/>
  </r>
  <r>
    <x v="0"/>
    <x v="3"/>
    <x v="4"/>
    <n v="37"/>
    <x v="0"/>
    <x v="1"/>
    <n v="83"/>
    <n v="100"/>
    <n v="100"/>
  </r>
  <r>
    <x v="0"/>
    <x v="3"/>
    <x v="4"/>
    <n v="38"/>
    <x v="1"/>
    <x v="0"/>
    <n v="69"/>
    <n v="85"/>
    <n v="83"/>
  </r>
  <r>
    <x v="0"/>
    <x v="3"/>
    <x v="4"/>
    <n v="39"/>
    <x v="1"/>
    <x v="0"/>
    <n v="73"/>
    <n v="85"/>
    <n v="83"/>
  </r>
  <r>
    <x v="0"/>
    <x v="3"/>
    <x v="4"/>
    <n v="40"/>
    <x v="1"/>
    <x v="0"/>
    <n v="68"/>
    <n v="79"/>
    <n v="78"/>
  </r>
  <r>
    <x v="0"/>
    <x v="3"/>
    <x v="4"/>
    <n v="41"/>
    <x v="1"/>
    <x v="1"/>
    <n v="59"/>
    <n v="78"/>
    <n v="80"/>
  </r>
  <r>
    <x v="0"/>
    <x v="3"/>
    <x v="4"/>
    <n v="42"/>
    <x v="1"/>
    <x v="1"/>
    <n v="64"/>
    <n v="77"/>
    <n v="77"/>
  </r>
  <r>
    <x v="0"/>
    <x v="3"/>
    <x v="4"/>
    <n v="43"/>
    <x v="1"/>
    <x v="1"/>
    <n v="81"/>
    <n v="96"/>
    <n v="99"/>
  </r>
  <r>
    <x v="0"/>
    <x v="3"/>
    <x v="4"/>
    <n v="44"/>
    <x v="1"/>
    <x v="1"/>
    <n v="45"/>
    <n v="68"/>
    <n v="71"/>
  </r>
  <r>
    <x v="0"/>
    <x v="3"/>
    <x v="5"/>
    <n v="21"/>
    <x v="0"/>
    <x v="0"/>
    <n v="67"/>
    <n v="75"/>
    <n v="80"/>
  </r>
  <r>
    <x v="0"/>
    <x v="3"/>
    <x v="5"/>
    <n v="22"/>
    <x v="0"/>
    <x v="0"/>
    <n v="62"/>
    <n v="71"/>
    <n v="74"/>
  </r>
  <r>
    <x v="0"/>
    <x v="3"/>
    <x v="5"/>
    <n v="23"/>
    <x v="0"/>
    <x v="0"/>
    <n v="44"/>
    <n v="39"/>
    <n v="37"/>
  </r>
  <r>
    <x v="0"/>
    <x v="3"/>
    <x v="5"/>
    <n v="24"/>
    <x v="0"/>
    <x v="0"/>
    <n v="65"/>
    <n v="73"/>
    <n v="77"/>
  </r>
  <r>
    <x v="0"/>
    <x v="3"/>
    <x v="5"/>
    <n v="25"/>
    <x v="0"/>
    <x v="0"/>
    <n v="69"/>
    <n v="67"/>
    <n v="78"/>
  </r>
  <r>
    <x v="0"/>
    <x v="3"/>
    <x v="5"/>
    <n v="26"/>
    <x v="0"/>
    <x v="1"/>
    <n v="64"/>
    <n v="67"/>
    <n v="72"/>
  </r>
  <r>
    <x v="0"/>
    <x v="3"/>
    <x v="5"/>
    <n v="27"/>
    <x v="0"/>
    <x v="1"/>
    <n v="87"/>
    <n v="95"/>
    <n v="100"/>
  </r>
  <r>
    <x v="0"/>
    <x v="3"/>
    <x v="5"/>
    <n v="28"/>
    <x v="1"/>
    <x v="0"/>
    <n v="32"/>
    <n v="35"/>
    <n v="37"/>
  </r>
  <r>
    <x v="0"/>
    <x v="3"/>
    <x v="5"/>
    <n v="29"/>
    <x v="1"/>
    <x v="0"/>
    <n v="93"/>
    <n v="98"/>
    <n v="94"/>
  </r>
  <r>
    <x v="0"/>
    <x v="3"/>
    <x v="5"/>
    <n v="30"/>
    <x v="1"/>
    <x v="0"/>
    <n v="73"/>
    <n v="72"/>
    <n v="75"/>
  </r>
  <r>
    <x v="0"/>
    <x v="4"/>
    <x v="0"/>
    <n v="71"/>
    <x v="0"/>
    <x v="0"/>
    <n v="52"/>
    <n v="71"/>
    <n v="70"/>
  </r>
  <r>
    <x v="0"/>
    <x v="4"/>
    <x v="0"/>
    <n v="72"/>
    <x v="0"/>
    <x v="0"/>
    <n v="48"/>
    <n v="60"/>
    <n v="57"/>
  </r>
  <r>
    <x v="0"/>
    <x v="4"/>
    <x v="0"/>
    <n v="73"/>
    <x v="0"/>
    <x v="0"/>
    <n v="78"/>
    <n v="86"/>
    <n v="80"/>
  </r>
  <r>
    <x v="0"/>
    <x v="4"/>
    <x v="0"/>
    <n v="74"/>
    <x v="0"/>
    <x v="0"/>
    <n v="91"/>
    <n v="97"/>
    <n v="91"/>
  </r>
  <r>
    <x v="0"/>
    <x v="4"/>
    <x v="0"/>
    <n v="75"/>
    <x v="0"/>
    <x v="0"/>
    <n v="87"/>
    <n v="87"/>
    <n v="84"/>
  </r>
  <r>
    <x v="0"/>
    <x v="4"/>
    <x v="0"/>
    <n v="76"/>
    <x v="0"/>
    <x v="1"/>
    <n v="89"/>
    <n v="93"/>
    <n v="93"/>
  </r>
  <r>
    <x v="0"/>
    <x v="4"/>
    <x v="0"/>
    <n v="77"/>
    <x v="0"/>
    <x v="1"/>
    <n v="87"/>
    <n v="90"/>
    <n v="90"/>
  </r>
  <r>
    <x v="0"/>
    <x v="4"/>
    <x v="0"/>
    <n v="78"/>
    <x v="0"/>
    <x v="1"/>
    <n v="89"/>
    <n v="95"/>
    <n v="99"/>
  </r>
  <r>
    <x v="0"/>
    <x v="4"/>
    <x v="0"/>
    <n v="79"/>
    <x v="0"/>
    <x v="1"/>
    <n v="90"/>
    <n v="96"/>
    <n v="98"/>
  </r>
  <r>
    <x v="0"/>
    <x v="4"/>
    <x v="0"/>
    <n v="80"/>
    <x v="1"/>
    <x v="0"/>
    <n v="63"/>
    <n v="72"/>
    <n v="60"/>
  </r>
  <r>
    <x v="0"/>
    <x v="4"/>
    <x v="0"/>
    <n v="81"/>
    <x v="1"/>
    <x v="0"/>
    <n v="62"/>
    <n v="71"/>
    <n v="61"/>
  </r>
  <r>
    <x v="0"/>
    <x v="4"/>
    <x v="0"/>
    <n v="82"/>
    <x v="1"/>
    <x v="1"/>
    <n v="46"/>
    <n v="57"/>
    <n v="57"/>
  </r>
  <r>
    <x v="0"/>
    <x v="4"/>
    <x v="0"/>
    <n v="83"/>
    <x v="1"/>
    <x v="1"/>
    <n v="65"/>
    <n v="72"/>
    <n v="76"/>
  </r>
  <r>
    <x v="0"/>
    <x v="4"/>
    <x v="0"/>
    <n v="84"/>
    <x v="1"/>
    <x v="1"/>
    <n v="42"/>
    <n v="59"/>
    <n v="59"/>
  </r>
  <r>
    <x v="0"/>
    <x v="4"/>
    <x v="1"/>
    <n v="99"/>
    <x v="0"/>
    <x v="0"/>
    <n v="59"/>
    <n v="52"/>
    <n v="56"/>
  </r>
  <r>
    <x v="0"/>
    <x v="4"/>
    <x v="1"/>
    <n v="100"/>
    <x v="0"/>
    <x v="0"/>
    <n v="90"/>
    <n v="96"/>
    <n v="88"/>
  </r>
  <r>
    <x v="0"/>
    <x v="4"/>
    <x v="1"/>
    <n v="101"/>
    <x v="0"/>
    <x v="0"/>
    <n v="61"/>
    <n v="61"/>
    <n v="57"/>
  </r>
  <r>
    <x v="0"/>
    <x v="4"/>
    <x v="1"/>
    <n v="102"/>
    <x v="0"/>
    <x v="0"/>
    <n v="86"/>
    <n v="89"/>
    <n v="87"/>
  </r>
  <r>
    <x v="0"/>
    <x v="4"/>
    <x v="1"/>
    <n v="103"/>
    <x v="0"/>
    <x v="0"/>
    <n v="71"/>
    <n v="83"/>
    <n v="79"/>
  </r>
  <r>
    <x v="0"/>
    <x v="4"/>
    <x v="1"/>
    <n v="104"/>
    <x v="0"/>
    <x v="0"/>
    <n v="85"/>
    <n v="86"/>
    <n v="88"/>
  </r>
  <r>
    <x v="0"/>
    <x v="4"/>
    <x v="1"/>
    <n v="105"/>
    <x v="0"/>
    <x v="0"/>
    <n v="54"/>
    <n v="56"/>
    <n v="56"/>
  </r>
  <r>
    <x v="0"/>
    <x v="4"/>
    <x v="1"/>
    <n v="106"/>
    <x v="0"/>
    <x v="0"/>
    <n v="92"/>
    <n v="94"/>
    <n v="94"/>
  </r>
  <r>
    <x v="0"/>
    <x v="4"/>
    <x v="1"/>
    <n v="107"/>
    <x v="0"/>
    <x v="0"/>
    <n v="79"/>
    <n v="78"/>
    <n v="83"/>
  </r>
  <r>
    <x v="0"/>
    <x v="4"/>
    <x v="1"/>
    <n v="108"/>
    <x v="1"/>
    <x v="0"/>
    <n v="74"/>
    <n v="88"/>
    <n v="75"/>
  </r>
  <r>
    <x v="0"/>
    <x v="4"/>
    <x v="1"/>
    <n v="109"/>
    <x v="1"/>
    <x v="0"/>
    <n v="62"/>
    <n v="70"/>
    <n v="64"/>
  </r>
  <r>
    <x v="0"/>
    <x v="4"/>
    <x v="1"/>
    <n v="110"/>
    <x v="1"/>
    <x v="0"/>
    <n v="85"/>
    <n v="91"/>
    <n v="88"/>
  </r>
  <r>
    <x v="0"/>
    <x v="4"/>
    <x v="1"/>
    <n v="111"/>
    <x v="1"/>
    <x v="1"/>
    <n v="65"/>
    <n v="77"/>
    <n v="74"/>
  </r>
  <r>
    <x v="0"/>
    <x v="4"/>
    <x v="1"/>
    <n v="112"/>
    <x v="1"/>
    <x v="1"/>
    <n v="59"/>
    <n v="68"/>
    <n v="68"/>
  </r>
  <r>
    <x v="0"/>
    <x v="4"/>
    <x v="1"/>
    <n v="113"/>
    <x v="1"/>
    <x v="1"/>
    <n v="68"/>
    <n v="69"/>
    <n v="71"/>
  </r>
  <r>
    <x v="0"/>
    <x v="4"/>
    <x v="1"/>
    <n v="114"/>
    <x v="1"/>
    <x v="1"/>
    <n v="66"/>
    <n v="66"/>
    <n v="75"/>
  </r>
  <r>
    <x v="0"/>
    <x v="4"/>
    <x v="1"/>
    <n v="115"/>
    <x v="1"/>
    <x v="1"/>
    <n v="70"/>
    <n v="77"/>
    <n v="86"/>
  </r>
  <r>
    <x v="0"/>
    <x v="4"/>
    <x v="1"/>
    <n v="116"/>
    <x v="1"/>
    <x v="1"/>
    <n v="80"/>
    <n v="94"/>
    <n v="97"/>
  </r>
  <r>
    <x v="0"/>
    <x v="4"/>
    <x v="2"/>
    <n v="91"/>
    <x v="0"/>
    <x v="0"/>
    <n v="82"/>
    <n v="83"/>
    <n v="80"/>
  </r>
  <r>
    <x v="0"/>
    <x v="4"/>
    <x v="2"/>
    <n v="92"/>
    <x v="0"/>
    <x v="0"/>
    <n v="80"/>
    <n v="79"/>
    <n v="71"/>
  </r>
  <r>
    <x v="0"/>
    <x v="4"/>
    <x v="2"/>
    <n v="93"/>
    <x v="0"/>
    <x v="0"/>
    <n v="75"/>
    <n v="70"/>
    <n v="71"/>
  </r>
  <r>
    <x v="0"/>
    <x v="4"/>
    <x v="2"/>
    <n v="94"/>
    <x v="0"/>
    <x v="0"/>
    <n v="96"/>
    <n v="93"/>
    <n v="100"/>
  </r>
  <r>
    <x v="0"/>
    <x v="4"/>
    <x v="2"/>
    <n v="95"/>
    <x v="0"/>
    <x v="0"/>
    <n v="92"/>
    <n v="100"/>
    <n v="99"/>
  </r>
  <r>
    <x v="0"/>
    <x v="4"/>
    <x v="2"/>
    <n v="96"/>
    <x v="0"/>
    <x v="1"/>
    <n v="86"/>
    <n v="89"/>
    <n v="96"/>
  </r>
  <r>
    <x v="0"/>
    <x v="4"/>
    <x v="2"/>
    <n v="97"/>
    <x v="1"/>
    <x v="0"/>
    <n v="80"/>
    <n v="82"/>
    <n v="85"/>
  </r>
  <r>
    <x v="0"/>
    <x v="4"/>
    <x v="2"/>
    <n v="98"/>
    <x v="1"/>
    <x v="0"/>
    <n v="80"/>
    <n v="80"/>
    <n v="83"/>
  </r>
  <r>
    <x v="0"/>
    <x v="4"/>
    <x v="2"/>
    <n v="99"/>
    <x v="1"/>
    <x v="0"/>
    <n v="60"/>
    <n v="74"/>
    <n v="68"/>
  </r>
  <r>
    <x v="0"/>
    <x v="4"/>
    <x v="2"/>
    <n v="100"/>
    <x v="1"/>
    <x v="0"/>
    <n v="83"/>
    <n v="90"/>
    <n v="95"/>
  </r>
  <r>
    <x v="0"/>
    <x v="4"/>
    <x v="2"/>
    <n v="101"/>
    <x v="1"/>
    <x v="1"/>
    <n v="83"/>
    <n v="86"/>
    <n v="91"/>
  </r>
  <r>
    <x v="0"/>
    <x v="4"/>
    <x v="3"/>
    <n v="91"/>
    <x v="0"/>
    <x v="0"/>
    <n v="83"/>
    <n v="90"/>
    <n v="88"/>
  </r>
  <r>
    <x v="0"/>
    <x v="4"/>
    <x v="3"/>
    <n v="92"/>
    <x v="0"/>
    <x v="0"/>
    <n v="74"/>
    <n v="77"/>
    <n v="73"/>
  </r>
  <r>
    <x v="0"/>
    <x v="4"/>
    <x v="3"/>
    <n v="93"/>
    <x v="0"/>
    <x v="0"/>
    <n v="89"/>
    <n v="93"/>
    <n v="98"/>
  </r>
  <r>
    <x v="0"/>
    <x v="4"/>
    <x v="3"/>
    <n v="94"/>
    <x v="0"/>
    <x v="0"/>
    <n v="62"/>
    <n v="65"/>
    <n v="65"/>
  </r>
  <r>
    <x v="0"/>
    <x v="4"/>
    <x v="3"/>
    <n v="95"/>
    <x v="0"/>
    <x v="0"/>
    <n v="64"/>
    <n v="68"/>
    <n v="60"/>
  </r>
  <r>
    <x v="0"/>
    <x v="4"/>
    <x v="3"/>
    <n v="96"/>
    <x v="0"/>
    <x v="1"/>
    <n v="89"/>
    <n v="94"/>
    <n v="94"/>
  </r>
  <r>
    <x v="0"/>
    <x v="4"/>
    <x v="3"/>
    <n v="97"/>
    <x v="0"/>
    <x v="1"/>
    <n v="86"/>
    <n v="89"/>
    <n v="89"/>
  </r>
  <r>
    <x v="0"/>
    <x v="4"/>
    <x v="3"/>
    <n v="98"/>
    <x v="0"/>
    <x v="1"/>
    <n v="78"/>
    <n v="83"/>
    <n v="76"/>
  </r>
  <r>
    <x v="0"/>
    <x v="4"/>
    <x v="3"/>
    <n v="99"/>
    <x v="0"/>
    <x v="1"/>
    <n v="96"/>
    <n v="98"/>
    <n v="100"/>
  </r>
  <r>
    <x v="0"/>
    <x v="4"/>
    <x v="3"/>
    <n v="100"/>
    <x v="0"/>
    <x v="1"/>
    <n v="82"/>
    <n v="85"/>
    <n v="91"/>
  </r>
  <r>
    <x v="0"/>
    <x v="4"/>
    <x v="3"/>
    <n v="101"/>
    <x v="0"/>
    <x v="1"/>
    <n v="68"/>
    <n v="78"/>
    <n v="77"/>
  </r>
  <r>
    <x v="0"/>
    <x v="4"/>
    <x v="3"/>
    <n v="102"/>
    <x v="1"/>
    <x v="0"/>
    <n v="69"/>
    <n v="74"/>
    <n v="75"/>
  </r>
  <r>
    <x v="0"/>
    <x v="4"/>
    <x v="3"/>
    <n v="103"/>
    <x v="1"/>
    <x v="0"/>
    <n v="41"/>
    <n v="60"/>
    <n v="55"/>
  </r>
  <r>
    <x v="0"/>
    <x v="4"/>
    <x v="3"/>
    <n v="104"/>
    <x v="1"/>
    <x v="0"/>
    <n v="74"/>
    <n v="78"/>
    <n v="81"/>
  </r>
  <r>
    <x v="0"/>
    <x v="4"/>
    <x v="3"/>
    <n v="105"/>
    <x v="1"/>
    <x v="0"/>
    <n v="84"/>
    <n v="88"/>
    <n v="82"/>
  </r>
  <r>
    <x v="0"/>
    <x v="4"/>
    <x v="3"/>
    <n v="106"/>
    <x v="1"/>
    <x v="0"/>
    <n v="76"/>
    <n v="82"/>
    <n v="81"/>
  </r>
  <r>
    <x v="0"/>
    <x v="4"/>
    <x v="4"/>
    <n v="45"/>
    <x v="0"/>
    <x v="0"/>
    <n v="98"/>
    <n v="95"/>
    <n v="100"/>
  </r>
  <r>
    <x v="0"/>
    <x v="4"/>
    <x v="4"/>
    <n v="46"/>
    <x v="0"/>
    <x v="0"/>
    <n v="52"/>
    <n v="53"/>
    <n v="55"/>
  </r>
  <r>
    <x v="0"/>
    <x v="4"/>
    <x v="4"/>
    <n v="47"/>
    <x v="0"/>
    <x v="0"/>
    <n v="66"/>
    <n v="65"/>
    <n v="76"/>
  </r>
  <r>
    <x v="0"/>
    <x v="4"/>
    <x v="4"/>
    <n v="48"/>
    <x v="0"/>
    <x v="0"/>
    <n v="86"/>
    <n v="87"/>
    <n v="90"/>
  </r>
  <r>
    <x v="0"/>
    <x v="4"/>
    <x v="4"/>
    <n v="49"/>
    <x v="0"/>
    <x v="1"/>
    <n v="98"/>
    <n v="100"/>
    <n v="99"/>
  </r>
  <r>
    <x v="0"/>
    <x v="4"/>
    <x v="4"/>
    <n v="50"/>
    <x v="0"/>
    <x v="1"/>
    <n v="92"/>
    <n v="87"/>
    <n v="92"/>
  </r>
  <r>
    <x v="0"/>
    <x v="4"/>
    <x v="4"/>
    <n v="51"/>
    <x v="1"/>
    <x v="0"/>
    <n v="63"/>
    <n v="61"/>
    <n v="64"/>
  </r>
  <r>
    <x v="0"/>
    <x v="4"/>
    <x v="4"/>
    <n v="52"/>
    <x v="1"/>
    <x v="1"/>
    <n v="68"/>
    <n v="82"/>
    <n v="86"/>
  </r>
  <r>
    <x v="0"/>
    <x v="4"/>
    <x v="5"/>
    <n v="31"/>
    <x v="0"/>
    <x v="0"/>
    <n v="85"/>
    <n v="90"/>
    <n v="88"/>
  </r>
  <r>
    <x v="0"/>
    <x v="4"/>
    <x v="5"/>
    <n v="32"/>
    <x v="0"/>
    <x v="0"/>
    <n v="76"/>
    <n v="77"/>
    <n v="77"/>
  </r>
  <r>
    <x v="0"/>
    <x v="4"/>
    <x v="5"/>
    <n v="33"/>
    <x v="1"/>
    <x v="1"/>
    <n v="74"/>
    <n v="83"/>
    <n v="84"/>
  </r>
  <r>
    <x v="1"/>
    <x v="0"/>
    <x v="0"/>
    <n v="85"/>
    <x v="0"/>
    <x v="0"/>
    <n v="83"/>
    <n v="77"/>
    <n v="77"/>
  </r>
  <r>
    <x v="1"/>
    <x v="0"/>
    <x v="0"/>
    <n v="86"/>
    <x v="0"/>
    <x v="0"/>
    <n v="62"/>
    <n v="54"/>
    <n v="52"/>
  </r>
  <r>
    <x v="1"/>
    <x v="0"/>
    <x v="0"/>
    <n v="87"/>
    <x v="0"/>
    <x v="0"/>
    <n v="59"/>
    <n v="60"/>
    <n v="50"/>
  </r>
  <r>
    <x v="1"/>
    <x v="0"/>
    <x v="0"/>
    <n v="88"/>
    <x v="0"/>
    <x v="1"/>
    <n v="79"/>
    <n v="65"/>
    <n v="65"/>
  </r>
  <r>
    <x v="1"/>
    <x v="0"/>
    <x v="0"/>
    <n v="89"/>
    <x v="0"/>
    <x v="1"/>
    <n v="56"/>
    <n v="53"/>
    <n v="53"/>
  </r>
  <r>
    <x v="1"/>
    <x v="0"/>
    <x v="0"/>
    <n v="90"/>
    <x v="0"/>
    <x v="1"/>
    <n v="67"/>
    <n v="60"/>
    <n v="69"/>
  </r>
  <r>
    <x v="1"/>
    <x v="0"/>
    <x v="0"/>
    <n v="91"/>
    <x v="1"/>
    <x v="1"/>
    <n v="59"/>
    <n v="55"/>
    <n v="58"/>
  </r>
  <r>
    <x v="1"/>
    <x v="0"/>
    <x v="1"/>
    <n v="117"/>
    <x v="0"/>
    <x v="0"/>
    <n v="78"/>
    <n v="72"/>
    <n v="66"/>
  </r>
  <r>
    <x v="1"/>
    <x v="0"/>
    <x v="1"/>
    <n v="118"/>
    <x v="0"/>
    <x v="0"/>
    <n v="56"/>
    <n v="45"/>
    <n v="38"/>
  </r>
  <r>
    <x v="1"/>
    <x v="0"/>
    <x v="1"/>
    <n v="119"/>
    <x v="0"/>
    <x v="1"/>
    <n v="78"/>
    <n v="88"/>
    <n v="85"/>
  </r>
  <r>
    <x v="1"/>
    <x v="0"/>
    <x v="1"/>
    <n v="120"/>
    <x v="0"/>
    <x v="1"/>
    <n v="80"/>
    <n v="72"/>
    <n v="72"/>
  </r>
  <r>
    <x v="1"/>
    <x v="0"/>
    <x v="1"/>
    <n v="121"/>
    <x v="0"/>
    <x v="1"/>
    <n v="83"/>
    <n v="71"/>
    <n v="69"/>
  </r>
  <r>
    <x v="1"/>
    <x v="0"/>
    <x v="1"/>
    <n v="122"/>
    <x v="1"/>
    <x v="0"/>
    <n v="44"/>
    <n v="49"/>
    <n v="43"/>
  </r>
  <r>
    <x v="1"/>
    <x v="0"/>
    <x v="1"/>
    <n v="123"/>
    <x v="1"/>
    <x v="0"/>
    <n v="70"/>
    <n v="74"/>
    <n v="65"/>
  </r>
  <r>
    <x v="1"/>
    <x v="0"/>
    <x v="2"/>
    <n v="102"/>
    <x v="0"/>
    <x v="0"/>
    <n v="37"/>
    <n v="40"/>
    <n v="36"/>
  </r>
  <r>
    <x v="1"/>
    <x v="0"/>
    <x v="2"/>
    <n v="103"/>
    <x v="0"/>
    <x v="0"/>
    <n v="60"/>
    <n v="56"/>
    <n v="57"/>
  </r>
  <r>
    <x v="1"/>
    <x v="0"/>
    <x v="2"/>
    <n v="104"/>
    <x v="0"/>
    <x v="0"/>
    <n v="83"/>
    <n v="83"/>
    <n v="70"/>
  </r>
  <r>
    <x v="1"/>
    <x v="0"/>
    <x v="2"/>
    <n v="105"/>
    <x v="0"/>
    <x v="1"/>
    <n v="96"/>
    <n v="82"/>
    <n v="90"/>
  </r>
  <r>
    <x v="1"/>
    <x v="0"/>
    <x v="2"/>
    <n v="106"/>
    <x v="0"/>
    <x v="1"/>
    <n v="85"/>
    <n v="75"/>
    <n v="74"/>
  </r>
  <r>
    <x v="1"/>
    <x v="0"/>
    <x v="2"/>
    <n v="107"/>
    <x v="0"/>
    <x v="1"/>
    <n v="79"/>
    <n v="65"/>
    <n v="69"/>
  </r>
  <r>
    <x v="1"/>
    <x v="0"/>
    <x v="2"/>
    <n v="108"/>
    <x v="0"/>
    <x v="1"/>
    <n v="55"/>
    <n v="62"/>
    <n v="58"/>
  </r>
  <r>
    <x v="1"/>
    <x v="0"/>
    <x v="2"/>
    <n v="109"/>
    <x v="1"/>
    <x v="1"/>
    <n v="56"/>
    <n v="60"/>
    <n v="63"/>
  </r>
  <r>
    <x v="1"/>
    <x v="0"/>
    <x v="2"/>
    <n v="110"/>
    <x v="1"/>
    <x v="1"/>
    <n v="68"/>
    <n v="71"/>
    <n v="64"/>
  </r>
  <r>
    <x v="1"/>
    <x v="0"/>
    <x v="2"/>
    <n v="111"/>
    <x v="1"/>
    <x v="1"/>
    <n v="69"/>
    <n v="77"/>
    <n v="77"/>
  </r>
  <r>
    <x v="1"/>
    <x v="0"/>
    <x v="2"/>
    <n v="112"/>
    <x v="1"/>
    <x v="1"/>
    <n v="63"/>
    <n v="61"/>
    <n v="64"/>
  </r>
  <r>
    <x v="1"/>
    <x v="0"/>
    <x v="2"/>
    <n v="113"/>
    <x v="1"/>
    <x v="1"/>
    <n v="75"/>
    <n v="67"/>
    <n v="67"/>
  </r>
  <r>
    <x v="1"/>
    <x v="0"/>
    <x v="3"/>
    <n v="107"/>
    <x v="0"/>
    <x v="0"/>
    <n v="70"/>
    <n v="73"/>
    <n v="70"/>
  </r>
  <r>
    <x v="1"/>
    <x v="0"/>
    <x v="3"/>
    <n v="108"/>
    <x v="0"/>
    <x v="0"/>
    <n v="62"/>
    <n v="58"/>
    <n v="57"/>
  </r>
  <r>
    <x v="1"/>
    <x v="0"/>
    <x v="3"/>
    <n v="109"/>
    <x v="0"/>
    <x v="0"/>
    <n v="77"/>
    <n v="73"/>
    <n v="69"/>
  </r>
  <r>
    <x v="1"/>
    <x v="0"/>
    <x v="3"/>
    <n v="110"/>
    <x v="0"/>
    <x v="0"/>
    <n v="72"/>
    <n v="77"/>
    <n v="67"/>
  </r>
  <r>
    <x v="1"/>
    <x v="0"/>
    <x v="3"/>
    <n v="111"/>
    <x v="0"/>
    <x v="0"/>
    <n v="58"/>
    <n v="64"/>
    <n v="55"/>
  </r>
  <r>
    <x v="1"/>
    <x v="0"/>
    <x v="3"/>
    <n v="112"/>
    <x v="0"/>
    <x v="0"/>
    <n v="82"/>
    <n v="68"/>
    <n v="63"/>
  </r>
  <r>
    <x v="1"/>
    <x v="0"/>
    <x v="3"/>
    <n v="113"/>
    <x v="0"/>
    <x v="1"/>
    <n v="92"/>
    <n v="86"/>
    <n v="88"/>
  </r>
  <r>
    <x v="1"/>
    <x v="0"/>
    <x v="3"/>
    <n v="114"/>
    <x v="0"/>
    <x v="1"/>
    <n v="56"/>
    <n v="51"/>
    <n v="44"/>
  </r>
  <r>
    <x v="1"/>
    <x v="0"/>
    <x v="3"/>
    <n v="115"/>
    <x v="1"/>
    <x v="0"/>
    <n v="43"/>
    <n v="43"/>
    <n v="40"/>
  </r>
  <r>
    <x v="1"/>
    <x v="0"/>
    <x v="3"/>
    <n v="116"/>
    <x v="1"/>
    <x v="1"/>
    <n v="74"/>
    <n v="75"/>
    <n v="78"/>
  </r>
  <r>
    <x v="1"/>
    <x v="0"/>
    <x v="5"/>
    <n v="34"/>
    <x v="0"/>
    <x v="0"/>
    <n v="59"/>
    <n v="57"/>
    <n v="51"/>
  </r>
  <r>
    <x v="1"/>
    <x v="0"/>
    <x v="5"/>
    <n v="35"/>
    <x v="1"/>
    <x v="0"/>
    <n v="84"/>
    <n v="85"/>
    <n v="87"/>
  </r>
  <r>
    <x v="1"/>
    <x v="1"/>
    <x v="0"/>
    <n v="92"/>
    <x v="0"/>
    <x v="0"/>
    <n v="74"/>
    <n v="69"/>
    <n v="69"/>
  </r>
  <r>
    <x v="1"/>
    <x v="1"/>
    <x v="0"/>
    <n v="93"/>
    <x v="0"/>
    <x v="0"/>
    <n v="71"/>
    <n v="63"/>
    <n v="55"/>
  </r>
  <r>
    <x v="1"/>
    <x v="1"/>
    <x v="0"/>
    <n v="94"/>
    <x v="0"/>
    <x v="0"/>
    <n v="63"/>
    <n v="56"/>
    <n v="47"/>
  </r>
  <r>
    <x v="1"/>
    <x v="1"/>
    <x v="0"/>
    <n v="95"/>
    <x v="0"/>
    <x v="0"/>
    <n v="49"/>
    <n v="39"/>
    <n v="33"/>
  </r>
  <r>
    <x v="1"/>
    <x v="1"/>
    <x v="0"/>
    <n v="96"/>
    <x v="0"/>
    <x v="0"/>
    <n v="55"/>
    <n v="49"/>
    <n v="44"/>
  </r>
  <r>
    <x v="1"/>
    <x v="1"/>
    <x v="0"/>
    <n v="97"/>
    <x v="0"/>
    <x v="0"/>
    <n v="79"/>
    <n v="69"/>
    <n v="70"/>
  </r>
  <r>
    <x v="1"/>
    <x v="1"/>
    <x v="0"/>
    <n v="98"/>
    <x v="0"/>
    <x v="1"/>
    <n v="45"/>
    <n v="50"/>
    <n v="48"/>
  </r>
  <r>
    <x v="1"/>
    <x v="1"/>
    <x v="0"/>
    <n v="99"/>
    <x v="0"/>
    <x v="1"/>
    <n v="72"/>
    <n v="62"/>
    <n v="62"/>
  </r>
  <r>
    <x v="1"/>
    <x v="1"/>
    <x v="0"/>
    <n v="100"/>
    <x v="1"/>
    <x v="0"/>
    <n v="33"/>
    <n v="47"/>
    <n v="32"/>
  </r>
  <r>
    <x v="1"/>
    <x v="1"/>
    <x v="0"/>
    <n v="101"/>
    <x v="1"/>
    <x v="0"/>
    <n v="46"/>
    <n v="41"/>
    <n v="40"/>
  </r>
  <r>
    <x v="1"/>
    <x v="1"/>
    <x v="0"/>
    <n v="102"/>
    <x v="1"/>
    <x v="0"/>
    <n v="38"/>
    <n v="38"/>
    <n v="30"/>
  </r>
  <r>
    <x v="1"/>
    <x v="1"/>
    <x v="0"/>
    <n v="103"/>
    <x v="1"/>
    <x v="1"/>
    <n v="58"/>
    <n v="56"/>
    <n v="53"/>
  </r>
  <r>
    <x v="1"/>
    <x v="1"/>
    <x v="0"/>
    <n v="104"/>
    <x v="1"/>
    <x v="1"/>
    <n v="64"/>
    <n v="62"/>
    <n v="55"/>
  </r>
  <r>
    <x v="1"/>
    <x v="1"/>
    <x v="1"/>
    <n v="124"/>
    <x v="0"/>
    <x v="0"/>
    <n v="86"/>
    <n v="82"/>
    <n v="72"/>
  </r>
  <r>
    <x v="1"/>
    <x v="1"/>
    <x v="1"/>
    <n v="125"/>
    <x v="0"/>
    <x v="0"/>
    <n v="65"/>
    <n v="61"/>
    <n v="57"/>
  </r>
  <r>
    <x v="1"/>
    <x v="1"/>
    <x v="1"/>
    <n v="126"/>
    <x v="0"/>
    <x v="0"/>
    <n v="44"/>
    <n v="50"/>
    <n v="37"/>
  </r>
  <r>
    <x v="1"/>
    <x v="1"/>
    <x v="1"/>
    <n v="127"/>
    <x v="0"/>
    <x v="0"/>
    <n v="71"/>
    <n v="63"/>
    <n v="61"/>
  </r>
  <r>
    <x v="1"/>
    <x v="1"/>
    <x v="1"/>
    <n v="128"/>
    <x v="0"/>
    <x v="0"/>
    <n v="52"/>
    <n v="48"/>
    <n v="49"/>
  </r>
  <r>
    <x v="1"/>
    <x v="1"/>
    <x v="1"/>
    <n v="129"/>
    <x v="0"/>
    <x v="0"/>
    <n v="51"/>
    <n v="52"/>
    <n v="46"/>
  </r>
  <r>
    <x v="1"/>
    <x v="1"/>
    <x v="1"/>
    <n v="130"/>
    <x v="0"/>
    <x v="0"/>
    <n v="81"/>
    <n v="71"/>
    <n v="62"/>
  </r>
  <r>
    <x v="1"/>
    <x v="1"/>
    <x v="1"/>
    <n v="131"/>
    <x v="0"/>
    <x v="0"/>
    <n v="65"/>
    <n v="66"/>
    <n v="61"/>
  </r>
  <r>
    <x v="1"/>
    <x v="1"/>
    <x v="1"/>
    <n v="132"/>
    <x v="0"/>
    <x v="0"/>
    <n v="64"/>
    <n v="57"/>
    <n v="52"/>
  </r>
  <r>
    <x v="1"/>
    <x v="1"/>
    <x v="1"/>
    <n v="133"/>
    <x v="0"/>
    <x v="1"/>
    <n v="88"/>
    <n v="87"/>
    <n v="85"/>
  </r>
  <r>
    <x v="1"/>
    <x v="1"/>
    <x v="1"/>
    <n v="134"/>
    <x v="0"/>
    <x v="1"/>
    <n v="85"/>
    <n v="75"/>
    <n v="72"/>
  </r>
  <r>
    <x v="1"/>
    <x v="1"/>
    <x v="1"/>
    <n v="135"/>
    <x v="1"/>
    <x v="0"/>
    <n v="65"/>
    <n v="55"/>
    <n v="51"/>
  </r>
  <r>
    <x v="1"/>
    <x v="1"/>
    <x v="1"/>
    <n v="136"/>
    <x v="1"/>
    <x v="1"/>
    <n v="59"/>
    <n v="62"/>
    <n v="58"/>
  </r>
  <r>
    <x v="1"/>
    <x v="1"/>
    <x v="1"/>
    <n v="137"/>
    <x v="1"/>
    <x v="1"/>
    <n v="76"/>
    <n v="81"/>
    <n v="72"/>
  </r>
  <r>
    <x v="1"/>
    <x v="1"/>
    <x v="1"/>
    <n v="138"/>
    <x v="1"/>
    <x v="1"/>
    <n v="73"/>
    <n v="68"/>
    <n v="71"/>
  </r>
  <r>
    <x v="1"/>
    <x v="1"/>
    <x v="2"/>
    <n v="114"/>
    <x v="0"/>
    <x v="0"/>
    <n v="47"/>
    <n v="48"/>
    <n v="49"/>
  </r>
  <r>
    <x v="1"/>
    <x v="1"/>
    <x v="2"/>
    <n v="115"/>
    <x v="0"/>
    <x v="0"/>
    <n v="67"/>
    <n v="60"/>
    <n v="61"/>
  </r>
  <r>
    <x v="1"/>
    <x v="1"/>
    <x v="2"/>
    <n v="116"/>
    <x v="0"/>
    <x v="0"/>
    <n v="72"/>
    <n v="67"/>
    <n v="64"/>
  </r>
  <r>
    <x v="1"/>
    <x v="1"/>
    <x v="2"/>
    <n v="117"/>
    <x v="0"/>
    <x v="0"/>
    <n v="74"/>
    <n v="65"/>
    <n v="61"/>
  </r>
  <r>
    <x v="1"/>
    <x v="1"/>
    <x v="2"/>
    <n v="118"/>
    <x v="0"/>
    <x v="0"/>
    <n v="59"/>
    <n v="52"/>
    <n v="45"/>
  </r>
  <r>
    <x v="1"/>
    <x v="1"/>
    <x v="2"/>
    <n v="119"/>
    <x v="0"/>
    <x v="0"/>
    <n v="73"/>
    <n v="54"/>
    <n v="57"/>
  </r>
  <r>
    <x v="1"/>
    <x v="1"/>
    <x v="2"/>
    <n v="120"/>
    <x v="0"/>
    <x v="0"/>
    <n v="81"/>
    <n v="66"/>
    <n v="58"/>
  </r>
  <r>
    <x v="1"/>
    <x v="1"/>
    <x v="2"/>
    <n v="121"/>
    <x v="0"/>
    <x v="1"/>
    <n v="76"/>
    <n v="79"/>
    <n v="80"/>
  </r>
  <r>
    <x v="1"/>
    <x v="1"/>
    <x v="2"/>
    <n v="122"/>
    <x v="0"/>
    <x v="1"/>
    <n v="79"/>
    <n v="77"/>
    <n v="75"/>
  </r>
  <r>
    <x v="1"/>
    <x v="1"/>
    <x v="2"/>
    <n v="123"/>
    <x v="1"/>
    <x v="0"/>
    <n v="60"/>
    <n v="59"/>
    <n v="52"/>
  </r>
  <r>
    <x v="1"/>
    <x v="1"/>
    <x v="2"/>
    <n v="124"/>
    <x v="1"/>
    <x v="0"/>
    <n v="74"/>
    <n v="79"/>
    <n v="65"/>
  </r>
  <r>
    <x v="1"/>
    <x v="1"/>
    <x v="2"/>
    <n v="125"/>
    <x v="1"/>
    <x v="0"/>
    <n v="45"/>
    <n v="52"/>
    <n v="45"/>
  </r>
  <r>
    <x v="1"/>
    <x v="1"/>
    <x v="2"/>
    <n v="126"/>
    <x v="1"/>
    <x v="0"/>
    <n v="57"/>
    <n v="59"/>
    <n v="62"/>
  </r>
  <r>
    <x v="1"/>
    <x v="1"/>
    <x v="2"/>
    <n v="127"/>
    <x v="1"/>
    <x v="1"/>
    <n v="84"/>
    <n v="91"/>
    <n v="89"/>
  </r>
  <r>
    <x v="1"/>
    <x v="1"/>
    <x v="2"/>
    <n v="128"/>
    <x v="1"/>
    <x v="1"/>
    <n v="50"/>
    <n v="56"/>
    <n v="55"/>
  </r>
  <r>
    <x v="1"/>
    <x v="1"/>
    <x v="2"/>
    <n v="129"/>
    <x v="1"/>
    <x v="1"/>
    <n v="68"/>
    <n v="73"/>
    <n v="72"/>
  </r>
  <r>
    <x v="1"/>
    <x v="1"/>
    <x v="3"/>
    <n v="117"/>
    <x v="0"/>
    <x v="0"/>
    <n v="74"/>
    <n v="83"/>
    <n v="72"/>
  </r>
  <r>
    <x v="1"/>
    <x v="1"/>
    <x v="3"/>
    <n v="118"/>
    <x v="0"/>
    <x v="0"/>
    <n v="85"/>
    <n v="80"/>
    <n v="73"/>
  </r>
  <r>
    <x v="1"/>
    <x v="1"/>
    <x v="3"/>
    <n v="119"/>
    <x v="0"/>
    <x v="0"/>
    <n v="60"/>
    <n v="59"/>
    <n v="53"/>
  </r>
  <r>
    <x v="1"/>
    <x v="1"/>
    <x v="3"/>
    <n v="120"/>
    <x v="0"/>
    <x v="0"/>
    <n v="60"/>
    <n v="55"/>
    <n v="52"/>
  </r>
  <r>
    <x v="1"/>
    <x v="1"/>
    <x v="3"/>
    <n v="121"/>
    <x v="0"/>
    <x v="0"/>
    <n v="69"/>
    <n v="59"/>
    <n v="57"/>
  </r>
  <r>
    <x v="1"/>
    <x v="1"/>
    <x v="3"/>
    <n v="122"/>
    <x v="0"/>
    <x v="0"/>
    <n v="76"/>
    <n v="70"/>
    <n v="67"/>
  </r>
  <r>
    <x v="1"/>
    <x v="1"/>
    <x v="3"/>
    <n v="123"/>
    <x v="0"/>
    <x v="0"/>
    <n v="58"/>
    <n v="47"/>
    <n v="45"/>
  </r>
  <r>
    <x v="1"/>
    <x v="1"/>
    <x v="3"/>
    <n v="124"/>
    <x v="0"/>
    <x v="1"/>
    <n v="83"/>
    <n v="79"/>
    <n v="80"/>
  </r>
  <r>
    <x v="1"/>
    <x v="1"/>
    <x v="3"/>
    <n v="125"/>
    <x v="0"/>
    <x v="1"/>
    <n v="77"/>
    <n v="68"/>
    <n v="66"/>
  </r>
  <r>
    <x v="1"/>
    <x v="1"/>
    <x v="3"/>
    <n v="126"/>
    <x v="1"/>
    <x v="0"/>
    <n v="70"/>
    <n v="70"/>
    <n v="63"/>
  </r>
  <r>
    <x v="1"/>
    <x v="1"/>
    <x v="3"/>
    <n v="127"/>
    <x v="1"/>
    <x v="0"/>
    <n v="51"/>
    <n v="50"/>
    <n v="44"/>
  </r>
  <r>
    <x v="1"/>
    <x v="1"/>
    <x v="3"/>
    <n v="128"/>
    <x v="1"/>
    <x v="0"/>
    <n v="44"/>
    <n v="45"/>
    <n v="41"/>
  </r>
  <r>
    <x v="1"/>
    <x v="1"/>
    <x v="3"/>
    <n v="129"/>
    <x v="1"/>
    <x v="0"/>
    <n v="78"/>
    <n v="68"/>
    <n v="70"/>
  </r>
  <r>
    <x v="1"/>
    <x v="1"/>
    <x v="3"/>
    <n v="130"/>
    <x v="1"/>
    <x v="0"/>
    <n v="52"/>
    <n v="57"/>
    <n v="49"/>
  </r>
  <r>
    <x v="1"/>
    <x v="1"/>
    <x v="3"/>
    <n v="131"/>
    <x v="1"/>
    <x v="0"/>
    <n v="42"/>
    <n v="48"/>
    <n v="33"/>
  </r>
  <r>
    <x v="1"/>
    <x v="1"/>
    <x v="3"/>
    <n v="132"/>
    <x v="1"/>
    <x v="0"/>
    <n v="56"/>
    <n v="47"/>
    <n v="48"/>
  </r>
  <r>
    <x v="1"/>
    <x v="1"/>
    <x v="3"/>
    <n v="133"/>
    <x v="1"/>
    <x v="1"/>
    <n v="58"/>
    <n v="57"/>
    <n v="58"/>
  </r>
  <r>
    <x v="1"/>
    <x v="1"/>
    <x v="3"/>
    <n v="134"/>
    <x v="1"/>
    <x v="1"/>
    <n v="76"/>
    <n v="83"/>
    <n v="78"/>
  </r>
  <r>
    <x v="1"/>
    <x v="1"/>
    <x v="4"/>
    <n v="53"/>
    <x v="0"/>
    <x v="0"/>
    <n v="63"/>
    <n v="46"/>
    <n v="46"/>
  </r>
  <r>
    <x v="1"/>
    <x v="1"/>
    <x v="4"/>
    <n v="54"/>
    <x v="0"/>
    <x v="0"/>
    <n v="82"/>
    <n v="68"/>
    <n v="69"/>
  </r>
  <r>
    <x v="1"/>
    <x v="1"/>
    <x v="4"/>
    <n v="55"/>
    <x v="0"/>
    <x v="0"/>
    <n v="84"/>
    <n v="81"/>
    <n v="72"/>
  </r>
  <r>
    <x v="1"/>
    <x v="1"/>
    <x v="4"/>
    <n v="56"/>
    <x v="0"/>
    <x v="0"/>
    <n v="84"/>
    <n v="80"/>
    <n v="77"/>
  </r>
  <r>
    <x v="1"/>
    <x v="1"/>
    <x v="4"/>
    <n v="57"/>
    <x v="0"/>
    <x v="1"/>
    <n v="94"/>
    <n v="82"/>
    <n v="93"/>
  </r>
  <r>
    <x v="1"/>
    <x v="1"/>
    <x v="4"/>
    <n v="58"/>
    <x v="0"/>
    <x v="1"/>
    <n v="64"/>
    <n v="70"/>
    <n v="72"/>
  </r>
  <r>
    <x v="1"/>
    <x v="1"/>
    <x v="4"/>
    <n v="59"/>
    <x v="0"/>
    <x v="1"/>
    <n v="62"/>
    <n v="60"/>
    <n v="55"/>
  </r>
  <r>
    <x v="1"/>
    <x v="1"/>
    <x v="4"/>
    <n v="60"/>
    <x v="0"/>
    <x v="1"/>
    <n v="88"/>
    <n v="82"/>
    <n v="82"/>
  </r>
  <r>
    <x v="1"/>
    <x v="1"/>
    <x v="4"/>
    <n v="61"/>
    <x v="1"/>
    <x v="0"/>
    <n v="76"/>
    <n v="74"/>
    <n v="76"/>
  </r>
  <r>
    <x v="1"/>
    <x v="1"/>
    <x v="4"/>
    <n v="62"/>
    <x v="1"/>
    <x v="0"/>
    <n v="57"/>
    <n v="54"/>
    <n v="44"/>
  </r>
  <r>
    <x v="1"/>
    <x v="1"/>
    <x v="4"/>
    <n v="63"/>
    <x v="1"/>
    <x v="0"/>
    <n v="50"/>
    <n v="40"/>
    <n v="38"/>
  </r>
  <r>
    <x v="1"/>
    <x v="1"/>
    <x v="4"/>
    <n v="64"/>
    <x v="1"/>
    <x v="0"/>
    <n v="70"/>
    <n v="70"/>
    <n v="66"/>
  </r>
  <r>
    <x v="1"/>
    <x v="1"/>
    <x v="4"/>
    <n v="65"/>
    <x v="1"/>
    <x v="0"/>
    <n v="55"/>
    <n v="59"/>
    <n v="49"/>
  </r>
  <r>
    <x v="1"/>
    <x v="1"/>
    <x v="4"/>
    <n v="66"/>
    <x v="1"/>
    <x v="1"/>
    <n v="48"/>
    <n v="59"/>
    <n v="55"/>
  </r>
  <r>
    <x v="1"/>
    <x v="1"/>
    <x v="5"/>
    <n v="36"/>
    <x v="0"/>
    <x v="0"/>
    <n v="53"/>
    <n v="50"/>
    <n v="49"/>
  </r>
  <r>
    <x v="1"/>
    <x v="1"/>
    <x v="5"/>
    <n v="37"/>
    <x v="0"/>
    <x v="0"/>
    <n v="68"/>
    <n v="65"/>
    <n v="60"/>
  </r>
  <r>
    <x v="1"/>
    <x v="1"/>
    <x v="5"/>
    <n v="38"/>
    <x v="0"/>
    <x v="0"/>
    <n v="61"/>
    <n v="56"/>
    <n v="52"/>
  </r>
  <r>
    <x v="1"/>
    <x v="1"/>
    <x v="5"/>
    <n v="39"/>
    <x v="0"/>
    <x v="0"/>
    <n v="100"/>
    <n v="90"/>
    <n v="88"/>
  </r>
  <r>
    <x v="1"/>
    <x v="1"/>
    <x v="5"/>
    <n v="40"/>
    <x v="0"/>
    <x v="0"/>
    <n v="88"/>
    <n v="78"/>
    <n v="84"/>
  </r>
  <r>
    <x v="1"/>
    <x v="1"/>
    <x v="5"/>
    <n v="41"/>
    <x v="0"/>
    <x v="0"/>
    <n v="92"/>
    <n v="89"/>
    <n v="83"/>
  </r>
  <r>
    <x v="1"/>
    <x v="1"/>
    <x v="5"/>
    <n v="42"/>
    <x v="1"/>
    <x v="0"/>
    <n v="76"/>
    <n v="68"/>
    <n v="70"/>
  </r>
  <r>
    <x v="1"/>
    <x v="1"/>
    <x v="5"/>
    <n v="43"/>
    <x v="1"/>
    <x v="0"/>
    <n v="65"/>
    <n v="65"/>
    <n v="62"/>
  </r>
  <r>
    <x v="1"/>
    <x v="1"/>
    <x v="5"/>
    <n v="44"/>
    <x v="1"/>
    <x v="0"/>
    <n v="54"/>
    <n v="60"/>
    <n v="60"/>
  </r>
  <r>
    <x v="1"/>
    <x v="1"/>
    <x v="5"/>
    <n v="45"/>
    <x v="1"/>
    <x v="1"/>
    <n v="71"/>
    <n v="75"/>
    <n v="73"/>
  </r>
  <r>
    <x v="1"/>
    <x v="2"/>
    <x v="0"/>
    <n v="105"/>
    <x v="0"/>
    <x v="0"/>
    <n v="68"/>
    <n v="57"/>
    <n v="54"/>
  </r>
  <r>
    <x v="1"/>
    <x v="2"/>
    <x v="0"/>
    <n v="106"/>
    <x v="0"/>
    <x v="0"/>
    <n v="80"/>
    <n v="75"/>
    <n v="73"/>
  </r>
  <r>
    <x v="1"/>
    <x v="2"/>
    <x v="0"/>
    <n v="107"/>
    <x v="0"/>
    <x v="0"/>
    <n v="67"/>
    <n v="66"/>
    <n v="66"/>
  </r>
  <r>
    <x v="1"/>
    <x v="2"/>
    <x v="0"/>
    <n v="108"/>
    <x v="0"/>
    <x v="0"/>
    <n v="59"/>
    <n v="50"/>
    <n v="41"/>
  </r>
  <r>
    <x v="1"/>
    <x v="2"/>
    <x v="0"/>
    <n v="109"/>
    <x v="0"/>
    <x v="0"/>
    <n v="64"/>
    <n v="56"/>
    <n v="51"/>
  </r>
  <r>
    <x v="1"/>
    <x v="2"/>
    <x v="0"/>
    <n v="110"/>
    <x v="0"/>
    <x v="0"/>
    <n v="57"/>
    <n v="46"/>
    <n v="44"/>
  </r>
  <r>
    <x v="1"/>
    <x v="2"/>
    <x v="0"/>
    <n v="111"/>
    <x v="0"/>
    <x v="0"/>
    <n v="77"/>
    <n v="79"/>
    <n v="76"/>
  </r>
  <r>
    <x v="1"/>
    <x v="2"/>
    <x v="0"/>
    <n v="112"/>
    <x v="0"/>
    <x v="0"/>
    <n v="63"/>
    <n v="57"/>
    <n v="59"/>
  </r>
  <r>
    <x v="1"/>
    <x v="2"/>
    <x v="0"/>
    <n v="113"/>
    <x v="0"/>
    <x v="0"/>
    <n v="79"/>
    <n v="65"/>
    <n v="67"/>
  </r>
  <r>
    <x v="1"/>
    <x v="2"/>
    <x v="0"/>
    <n v="114"/>
    <x v="0"/>
    <x v="0"/>
    <n v="67"/>
    <n v="65"/>
    <n v="62"/>
  </r>
  <r>
    <x v="1"/>
    <x v="2"/>
    <x v="0"/>
    <n v="115"/>
    <x v="0"/>
    <x v="0"/>
    <n v="68"/>
    <n v="76"/>
    <n v="72"/>
  </r>
  <r>
    <x v="1"/>
    <x v="2"/>
    <x v="0"/>
    <n v="116"/>
    <x v="0"/>
    <x v="0"/>
    <n v="54"/>
    <n v="56"/>
    <n v="47"/>
  </r>
  <r>
    <x v="1"/>
    <x v="2"/>
    <x v="0"/>
    <n v="117"/>
    <x v="0"/>
    <x v="0"/>
    <n v="63"/>
    <n v="59"/>
    <n v="51"/>
  </r>
  <r>
    <x v="1"/>
    <x v="2"/>
    <x v="0"/>
    <n v="118"/>
    <x v="0"/>
    <x v="0"/>
    <n v="65"/>
    <n v="58"/>
    <n v="57"/>
  </r>
  <r>
    <x v="1"/>
    <x v="2"/>
    <x v="0"/>
    <n v="119"/>
    <x v="0"/>
    <x v="0"/>
    <n v="63"/>
    <n v="63"/>
    <n v="63"/>
  </r>
  <r>
    <x v="1"/>
    <x v="2"/>
    <x v="0"/>
    <n v="120"/>
    <x v="0"/>
    <x v="0"/>
    <n v="84"/>
    <n v="84"/>
    <n v="74"/>
  </r>
  <r>
    <x v="1"/>
    <x v="2"/>
    <x v="0"/>
    <n v="121"/>
    <x v="0"/>
    <x v="0"/>
    <n v="94"/>
    <n v="84"/>
    <n v="80"/>
  </r>
  <r>
    <x v="1"/>
    <x v="2"/>
    <x v="0"/>
    <n v="122"/>
    <x v="0"/>
    <x v="0"/>
    <n v="45"/>
    <n v="48"/>
    <n v="46"/>
  </r>
  <r>
    <x v="1"/>
    <x v="2"/>
    <x v="0"/>
    <n v="123"/>
    <x v="0"/>
    <x v="0"/>
    <n v="83"/>
    <n v="84"/>
    <n v="78"/>
  </r>
  <r>
    <x v="1"/>
    <x v="2"/>
    <x v="0"/>
    <n v="124"/>
    <x v="0"/>
    <x v="0"/>
    <n v="28"/>
    <n v="27"/>
    <n v="23"/>
  </r>
  <r>
    <x v="1"/>
    <x v="2"/>
    <x v="0"/>
    <n v="125"/>
    <x v="0"/>
    <x v="1"/>
    <n v="83"/>
    <n v="81"/>
    <n v="78"/>
  </r>
  <r>
    <x v="1"/>
    <x v="2"/>
    <x v="0"/>
    <n v="126"/>
    <x v="0"/>
    <x v="1"/>
    <n v="52"/>
    <n v="59"/>
    <n v="59"/>
  </r>
  <r>
    <x v="1"/>
    <x v="2"/>
    <x v="0"/>
    <n v="127"/>
    <x v="0"/>
    <x v="1"/>
    <n v="62"/>
    <n v="71"/>
    <n v="62"/>
  </r>
  <r>
    <x v="1"/>
    <x v="2"/>
    <x v="0"/>
    <n v="128"/>
    <x v="0"/>
    <x v="1"/>
    <n v="63"/>
    <n v="69"/>
    <n v="68"/>
  </r>
  <r>
    <x v="1"/>
    <x v="2"/>
    <x v="0"/>
    <n v="129"/>
    <x v="0"/>
    <x v="1"/>
    <n v="86"/>
    <n v="89"/>
    <n v="87"/>
  </r>
  <r>
    <x v="1"/>
    <x v="2"/>
    <x v="0"/>
    <n v="130"/>
    <x v="0"/>
    <x v="1"/>
    <n v="60"/>
    <n v="51"/>
    <n v="55"/>
  </r>
  <r>
    <x v="1"/>
    <x v="2"/>
    <x v="0"/>
    <n v="131"/>
    <x v="1"/>
    <x v="0"/>
    <n v="61"/>
    <n v="56"/>
    <n v="53"/>
  </r>
  <r>
    <x v="1"/>
    <x v="2"/>
    <x v="0"/>
    <n v="132"/>
    <x v="1"/>
    <x v="0"/>
    <n v="74"/>
    <n v="66"/>
    <n v="64"/>
  </r>
  <r>
    <x v="1"/>
    <x v="2"/>
    <x v="0"/>
    <n v="133"/>
    <x v="1"/>
    <x v="0"/>
    <n v="64"/>
    <n v="56"/>
    <n v="52"/>
  </r>
  <r>
    <x v="1"/>
    <x v="2"/>
    <x v="0"/>
    <n v="134"/>
    <x v="1"/>
    <x v="0"/>
    <n v="79"/>
    <n v="77"/>
    <n v="71"/>
  </r>
  <r>
    <x v="1"/>
    <x v="2"/>
    <x v="0"/>
    <n v="135"/>
    <x v="1"/>
    <x v="1"/>
    <n v="63"/>
    <n v="69"/>
    <n v="63"/>
  </r>
  <r>
    <x v="1"/>
    <x v="2"/>
    <x v="1"/>
    <n v="139"/>
    <x v="0"/>
    <x v="0"/>
    <n v="69"/>
    <n v="67"/>
    <n v="63"/>
  </r>
  <r>
    <x v="1"/>
    <x v="2"/>
    <x v="1"/>
    <n v="140"/>
    <x v="0"/>
    <x v="0"/>
    <n v="76"/>
    <n v="81"/>
    <n v="74"/>
  </r>
  <r>
    <x v="1"/>
    <x v="2"/>
    <x v="1"/>
    <n v="141"/>
    <x v="0"/>
    <x v="0"/>
    <n v="84"/>
    <n v="77"/>
    <n v="80"/>
  </r>
  <r>
    <x v="1"/>
    <x v="2"/>
    <x v="1"/>
    <n v="142"/>
    <x v="0"/>
    <x v="0"/>
    <n v="88"/>
    <n v="66"/>
    <n v="73"/>
  </r>
  <r>
    <x v="1"/>
    <x v="2"/>
    <x v="1"/>
    <n v="143"/>
    <x v="0"/>
    <x v="0"/>
    <n v="49"/>
    <n v="53"/>
    <n v="43"/>
  </r>
  <r>
    <x v="1"/>
    <x v="2"/>
    <x v="1"/>
    <n v="144"/>
    <x v="0"/>
    <x v="0"/>
    <n v="66"/>
    <n v="63"/>
    <n v="63"/>
  </r>
  <r>
    <x v="1"/>
    <x v="2"/>
    <x v="1"/>
    <n v="145"/>
    <x v="0"/>
    <x v="0"/>
    <n v="31"/>
    <n v="27"/>
    <n v="19"/>
  </r>
  <r>
    <x v="1"/>
    <x v="2"/>
    <x v="1"/>
    <n v="146"/>
    <x v="0"/>
    <x v="0"/>
    <n v="92"/>
    <n v="89"/>
    <n v="83"/>
  </r>
  <r>
    <x v="1"/>
    <x v="2"/>
    <x v="1"/>
    <n v="147"/>
    <x v="0"/>
    <x v="0"/>
    <n v="90"/>
    <n v="79"/>
    <n v="75"/>
  </r>
  <r>
    <x v="1"/>
    <x v="2"/>
    <x v="1"/>
    <n v="148"/>
    <x v="0"/>
    <x v="0"/>
    <n v="64"/>
    <n v="62"/>
    <n v="61"/>
  </r>
  <r>
    <x v="1"/>
    <x v="2"/>
    <x v="1"/>
    <n v="149"/>
    <x v="0"/>
    <x v="0"/>
    <n v="74"/>
    <n v="72"/>
    <n v="62"/>
  </r>
  <r>
    <x v="1"/>
    <x v="2"/>
    <x v="1"/>
    <n v="150"/>
    <x v="0"/>
    <x v="0"/>
    <n v="65"/>
    <n v="69"/>
    <n v="56"/>
  </r>
  <r>
    <x v="1"/>
    <x v="2"/>
    <x v="1"/>
    <n v="151"/>
    <x v="0"/>
    <x v="0"/>
    <n v="77"/>
    <n v="70"/>
    <n v="60"/>
  </r>
  <r>
    <x v="1"/>
    <x v="2"/>
    <x v="1"/>
    <n v="152"/>
    <x v="0"/>
    <x v="0"/>
    <n v="84"/>
    <n v="71"/>
    <n v="66"/>
  </r>
  <r>
    <x v="1"/>
    <x v="2"/>
    <x v="1"/>
    <n v="153"/>
    <x v="0"/>
    <x v="0"/>
    <n v="90"/>
    <n v="78"/>
    <n v="78"/>
  </r>
  <r>
    <x v="1"/>
    <x v="2"/>
    <x v="1"/>
    <n v="154"/>
    <x v="0"/>
    <x v="0"/>
    <n v="69"/>
    <n v="58"/>
    <n v="52"/>
  </r>
  <r>
    <x v="1"/>
    <x v="2"/>
    <x v="1"/>
    <n v="155"/>
    <x v="0"/>
    <x v="0"/>
    <n v="79"/>
    <n v="72"/>
    <n v="72"/>
  </r>
  <r>
    <x v="1"/>
    <x v="2"/>
    <x v="1"/>
    <n v="156"/>
    <x v="0"/>
    <x v="0"/>
    <n v="65"/>
    <n v="70"/>
    <n v="57"/>
  </r>
  <r>
    <x v="1"/>
    <x v="2"/>
    <x v="1"/>
    <n v="157"/>
    <x v="0"/>
    <x v="1"/>
    <n v="78"/>
    <n v="81"/>
    <n v="80"/>
  </r>
  <r>
    <x v="1"/>
    <x v="2"/>
    <x v="1"/>
    <n v="158"/>
    <x v="0"/>
    <x v="1"/>
    <n v="88"/>
    <n v="75"/>
    <n v="72"/>
  </r>
  <r>
    <x v="1"/>
    <x v="2"/>
    <x v="1"/>
    <n v="159"/>
    <x v="0"/>
    <x v="1"/>
    <n v="64"/>
    <n v="66"/>
    <n v="69"/>
  </r>
  <r>
    <x v="1"/>
    <x v="2"/>
    <x v="1"/>
    <n v="160"/>
    <x v="0"/>
    <x v="1"/>
    <n v="72"/>
    <n v="67"/>
    <n v="67"/>
  </r>
  <r>
    <x v="1"/>
    <x v="2"/>
    <x v="1"/>
    <n v="161"/>
    <x v="0"/>
    <x v="1"/>
    <n v="67"/>
    <n v="63"/>
    <n v="67"/>
  </r>
  <r>
    <x v="1"/>
    <x v="2"/>
    <x v="1"/>
    <n v="162"/>
    <x v="0"/>
    <x v="1"/>
    <n v="75"/>
    <n v="69"/>
    <n v="67"/>
  </r>
  <r>
    <x v="1"/>
    <x v="2"/>
    <x v="1"/>
    <n v="163"/>
    <x v="0"/>
    <x v="1"/>
    <n v="72"/>
    <n v="63"/>
    <n v="66"/>
  </r>
  <r>
    <x v="1"/>
    <x v="2"/>
    <x v="1"/>
    <n v="164"/>
    <x v="1"/>
    <x v="0"/>
    <n v="66"/>
    <n v="66"/>
    <n v="62"/>
  </r>
  <r>
    <x v="1"/>
    <x v="2"/>
    <x v="1"/>
    <n v="165"/>
    <x v="1"/>
    <x v="0"/>
    <n v="75"/>
    <n v="77"/>
    <n v="66"/>
  </r>
  <r>
    <x v="1"/>
    <x v="2"/>
    <x v="1"/>
    <n v="166"/>
    <x v="1"/>
    <x v="0"/>
    <n v="66"/>
    <n v="66"/>
    <n v="58"/>
  </r>
  <r>
    <x v="1"/>
    <x v="2"/>
    <x v="1"/>
    <n v="167"/>
    <x v="1"/>
    <x v="0"/>
    <n v="20"/>
    <n v="25"/>
    <n v="15"/>
  </r>
  <r>
    <x v="1"/>
    <x v="2"/>
    <x v="1"/>
    <n v="168"/>
    <x v="1"/>
    <x v="0"/>
    <n v="75"/>
    <n v="79"/>
    <n v="68"/>
  </r>
  <r>
    <x v="1"/>
    <x v="2"/>
    <x v="1"/>
    <n v="169"/>
    <x v="1"/>
    <x v="0"/>
    <n v="51"/>
    <n v="57"/>
    <n v="44"/>
  </r>
  <r>
    <x v="1"/>
    <x v="2"/>
    <x v="1"/>
    <n v="170"/>
    <x v="1"/>
    <x v="0"/>
    <n v="72"/>
    <n v="68"/>
    <n v="62"/>
  </r>
  <r>
    <x v="1"/>
    <x v="2"/>
    <x v="1"/>
    <n v="171"/>
    <x v="1"/>
    <x v="0"/>
    <n v="34"/>
    <n v="37"/>
    <n v="27"/>
  </r>
  <r>
    <x v="1"/>
    <x v="2"/>
    <x v="1"/>
    <n v="172"/>
    <x v="1"/>
    <x v="0"/>
    <n v="45"/>
    <n v="43"/>
    <n v="47"/>
  </r>
  <r>
    <x v="1"/>
    <x v="2"/>
    <x v="1"/>
    <n v="173"/>
    <x v="1"/>
    <x v="0"/>
    <n v="56"/>
    <n v="67"/>
    <n v="62"/>
  </r>
  <r>
    <x v="1"/>
    <x v="2"/>
    <x v="1"/>
    <n v="174"/>
    <x v="1"/>
    <x v="0"/>
    <n v="59"/>
    <n v="60"/>
    <n v="56"/>
  </r>
  <r>
    <x v="1"/>
    <x v="2"/>
    <x v="1"/>
    <n v="175"/>
    <x v="1"/>
    <x v="1"/>
    <n v="64"/>
    <n v="71"/>
    <n v="68"/>
  </r>
  <r>
    <x v="1"/>
    <x v="2"/>
    <x v="1"/>
    <n v="176"/>
    <x v="1"/>
    <x v="1"/>
    <n v="54"/>
    <n v="53"/>
    <n v="51"/>
  </r>
  <r>
    <x v="1"/>
    <x v="2"/>
    <x v="1"/>
    <n v="177"/>
    <x v="1"/>
    <x v="1"/>
    <n v="41"/>
    <n v="57"/>
    <n v="55"/>
  </r>
  <r>
    <x v="1"/>
    <x v="2"/>
    <x v="1"/>
    <n v="178"/>
    <x v="1"/>
    <x v="1"/>
    <n v="77"/>
    <n v="80"/>
    <n v="74"/>
  </r>
  <r>
    <x v="1"/>
    <x v="2"/>
    <x v="2"/>
    <n v="130"/>
    <x v="0"/>
    <x v="0"/>
    <n v="88"/>
    <n v="80"/>
    <n v="81"/>
  </r>
  <r>
    <x v="1"/>
    <x v="2"/>
    <x v="2"/>
    <n v="131"/>
    <x v="0"/>
    <x v="0"/>
    <n v="49"/>
    <n v="53"/>
    <n v="47"/>
  </r>
  <r>
    <x v="1"/>
    <x v="2"/>
    <x v="2"/>
    <n v="132"/>
    <x v="0"/>
    <x v="0"/>
    <n v="65"/>
    <n v="63"/>
    <n v="57"/>
  </r>
  <r>
    <x v="1"/>
    <x v="2"/>
    <x v="2"/>
    <n v="133"/>
    <x v="0"/>
    <x v="0"/>
    <n v="91"/>
    <n v="84"/>
    <n v="77"/>
  </r>
  <r>
    <x v="1"/>
    <x v="2"/>
    <x v="2"/>
    <n v="134"/>
    <x v="0"/>
    <x v="0"/>
    <n v="50"/>
    <n v="42"/>
    <n v="35"/>
  </r>
  <r>
    <x v="1"/>
    <x v="2"/>
    <x v="2"/>
    <n v="135"/>
    <x v="0"/>
    <x v="0"/>
    <n v="76"/>
    <n v="61"/>
    <n v="62"/>
  </r>
  <r>
    <x v="1"/>
    <x v="2"/>
    <x v="2"/>
    <n v="136"/>
    <x v="0"/>
    <x v="0"/>
    <n v="81"/>
    <n v="77"/>
    <n v="71"/>
  </r>
  <r>
    <x v="1"/>
    <x v="2"/>
    <x v="2"/>
    <n v="137"/>
    <x v="0"/>
    <x v="0"/>
    <n v="80"/>
    <n v="76"/>
    <n v="74"/>
  </r>
  <r>
    <x v="1"/>
    <x v="2"/>
    <x v="2"/>
    <n v="138"/>
    <x v="0"/>
    <x v="0"/>
    <n v="76"/>
    <n v="72"/>
    <n v="73"/>
  </r>
  <r>
    <x v="1"/>
    <x v="2"/>
    <x v="2"/>
    <n v="139"/>
    <x v="0"/>
    <x v="0"/>
    <n v="76"/>
    <n v="74"/>
    <n v="67"/>
  </r>
  <r>
    <x v="1"/>
    <x v="2"/>
    <x v="2"/>
    <n v="140"/>
    <x v="0"/>
    <x v="1"/>
    <n v="76"/>
    <n v="82"/>
    <n v="77"/>
  </r>
  <r>
    <x v="1"/>
    <x v="2"/>
    <x v="2"/>
    <n v="141"/>
    <x v="1"/>
    <x v="0"/>
    <n v="57"/>
    <n v="58"/>
    <n v="51"/>
  </r>
  <r>
    <x v="1"/>
    <x v="2"/>
    <x v="2"/>
    <n v="142"/>
    <x v="1"/>
    <x v="0"/>
    <n v="72"/>
    <n v="80"/>
    <n v="75"/>
  </r>
  <r>
    <x v="1"/>
    <x v="2"/>
    <x v="2"/>
    <n v="143"/>
    <x v="1"/>
    <x v="0"/>
    <n v="73"/>
    <n v="66"/>
    <n v="68"/>
  </r>
  <r>
    <x v="1"/>
    <x v="2"/>
    <x v="2"/>
    <n v="144"/>
    <x v="1"/>
    <x v="0"/>
    <n v="39"/>
    <n v="44"/>
    <n v="36"/>
  </r>
  <r>
    <x v="1"/>
    <x v="2"/>
    <x v="2"/>
    <n v="145"/>
    <x v="1"/>
    <x v="0"/>
    <n v="62"/>
    <n v="55"/>
    <n v="50"/>
  </r>
  <r>
    <x v="1"/>
    <x v="2"/>
    <x v="2"/>
    <n v="146"/>
    <x v="1"/>
    <x v="0"/>
    <n v="82"/>
    <n v="86"/>
    <n v="78"/>
  </r>
  <r>
    <x v="1"/>
    <x v="2"/>
    <x v="2"/>
    <n v="147"/>
    <x v="1"/>
    <x v="0"/>
    <n v="82"/>
    <n v="73"/>
    <n v="74"/>
  </r>
  <r>
    <x v="1"/>
    <x v="2"/>
    <x v="2"/>
    <n v="148"/>
    <x v="1"/>
    <x v="0"/>
    <n v="59"/>
    <n v="64"/>
    <n v="60"/>
  </r>
  <r>
    <x v="1"/>
    <x v="2"/>
    <x v="2"/>
    <n v="149"/>
    <x v="1"/>
    <x v="1"/>
    <n v="74"/>
    <n v="85"/>
    <n v="87"/>
  </r>
  <r>
    <x v="1"/>
    <x v="2"/>
    <x v="2"/>
    <n v="150"/>
    <x v="1"/>
    <x v="1"/>
    <n v="46"/>
    <n v="46"/>
    <n v="48"/>
  </r>
  <r>
    <x v="1"/>
    <x v="2"/>
    <x v="2"/>
    <n v="151"/>
    <x v="1"/>
    <x v="1"/>
    <n v="72"/>
    <n v="67"/>
    <n v="61"/>
  </r>
  <r>
    <x v="1"/>
    <x v="2"/>
    <x v="2"/>
    <n v="152"/>
    <x v="1"/>
    <x v="1"/>
    <n v="61"/>
    <n v="58"/>
    <n v="56"/>
  </r>
  <r>
    <x v="1"/>
    <x v="2"/>
    <x v="2"/>
    <n v="153"/>
    <x v="1"/>
    <x v="1"/>
    <n v="87"/>
    <n v="82"/>
    <n v="79"/>
  </r>
  <r>
    <x v="1"/>
    <x v="2"/>
    <x v="2"/>
    <n v="154"/>
    <x v="1"/>
    <x v="1"/>
    <n v="61"/>
    <n v="69"/>
    <n v="62"/>
  </r>
  <r>
    <x v="1"/>
    <x v="2"/>
    <x v="2"/>
    <n v="155"/>
    <x v="1"/>
    <x v="1"/>
    <n v="60"/>
    <n v="57"/>
    <n v="61"/>
  </r>
  <r>
    <x v="1"/>
    <x v="2"/>
    <x v="2"/>
    <n v="156"/>
    <x v="1"/>
    <x v="1"/>
    <n v="59"/>
    <n v="68"/>
    <n v="66"/>
  </r>
  <r>
    <x v="1"/>
    <x v="2"/>
    <x v="2"/>
    <n v="157"/>
    <x v="1"/>
    <x v="1"/>
    <n v="47"/>
    <n v="49"/>
    <n v="49"/>
  </r>
  <r>
    <x v="1"/>
    <x v="2"/>
    <x v="3"/>
    <n v="135"/>
    <x v="0"/>
    <x v="0"/>
    <n v="55"/>
    <n v="61"/>
    <n v="59"/>
  </r>
  <r>
    <x v="1"/>
    <x v="2"/>
    <x v="3"/>
    <n v="136"/>
    <x v="0"/>
    <x v="0"/>
    <n v="43"/>
    <n v="51"/>
    <n v="38"/>
  </r>
  <r>
    <x v="1"/>
    <x v="2"/>
    <x v="3"/>
    <n v="137"/>
    <x v="0"/>
    <x v="0"/>
    <n v="81"/>
    <n v="65"/>
    <n v="60"/>
  </r>
  <r>
    <x v="1"/>
    <x v="2"/>
    <x v="3"/>
    <n v="138"/>
    <x v="0"/>
    <x v="0"/>
    <n v="65"/>
    <n v="64"/>
    <n v="61"/>
  </r>
  <r>
    <x v="1"/>
    <x v="2"/>
    <x v="3"/>
    <n v="139"/>
    <x v="0"/>
    <x v="0"/>
    <n v="50"/>
    <n v="40"/>
    <n v="44"/>
  </r>
  <r>
    <x v="1"/>
    <x v="2"/>
    <x v="3"/>
    <n v="140"/>
    <x v="0"/>
    <x v="0"/>
    <n v="51"/>
    <n v="56"/>
    <n v="53"/>
  </r>
  <r>
    <x v="1"/>
    <x v="2"/>
    <x v="3"/>
    <n v="141"/>
    <x v="0"/>
    <x v="0"/>
    <n v="86"/>
    <n v="82"/>
    <n v="72"/>
  </r>
  <r>
    <x v="1"/>
    <x v="2"/>
    <x v="3"/>
    <n v="142"/>
    <x v="0"/>
    <x v="0"/>
    <n v="72"/>
    <n v="76"/>
    <n v="64"/>
  </r>
  <r>
    <x v="1"/>
    <x v="2"/>
    <x v="3"/>
    <n v="143"/>
    <x v="0"/>
    <x v="0"/>
    <n v="90"/>
    <n v="76"/>
    <n v="71"/>
  </r>
  <r>
    <x v="1"/>
    <x v="2"/>
    <x v="3"/>
    <n v="144"/>
    <x v="0"/>
    <x v="0"/>
    <n v="76"/>
    <n v="74"/>
    <n v="73"/>
  </r>
  <r>
    <x v="1"/>
    <x v="2"/>
    <x v="3"/>
    <n v="145"/>
    <x v="0"/>
    <x v="0"/>
    <n v="66"/>
    <n v="68"/>
    <n v="62"/>
  </r>
  <r>
    <x v="1"/>
    <x v="2"/>
    <x v="3"/>
    <n v="146"/>
    <x v="0"/>
    <x v="0"/>
    <n v="55"/>
    <n v="65"/>
    <n v="57"/>
  </r>
  <r>
    <x v="1"/>
    <x v="2"/>
    <x v="3"/>
    <n v="147"/>
    <x v="0"/>
    <x v="0"/>
    <n v="79"/>
    <n v="76"/>
    <n v="69"/>
  </r>
  <r>
    <x v="1"/>
    <x v="2"/>
    <x v="3"/>
    <n v="148"/>
    <x v="0"/>
    <x v="0"/>
    <n v="80"/>
    <n v="79"/>
    <n v="74"/>
  </r>
  <r>
    <x v="1"/>
    <x v="2"/>
    <x v="3"/>
    <n v="149"/>
    <x v="0"/>
    <x v="0"/>
    <n v="55"/>
    <n v="48"/>
    <n v="46"/>
  </r>
  <r>
    <x v="1"/>
    <x v="2"/>
    <x v="3"/>
    <n v="150"/>
    <x v="0"/>
    <x v="0"/>
    <n v="68"/>
    <n v="58"/>
    <n v="54"/>
  </r>
  <r>
    <x v="1"/>
    <x v="2"/>
    <x v="3"/>
    <n v="151"/>
    <x v="0"/>
    <x v="0"/>
    <n v="76"/>
    <n v="65"/>
    <n v="58"/>
  </r>
  <r>
    <x v="1"/>
    <x v="2"/>
    <x v="3"/>
    <n v="152"/>
    <x v="0"/>
    <x v="0"/>
    <n v="77"/>
    <n v="77"/>
    <n v="71"/>
  </r>
  <r>
    <x v="1"/>
    <x v="2"/>
    <x v="3"/>
    <n v="153"/>
    <x v="0"/>
    <x v="0"/>
    <n v="80"/>
    <n v="66"/>
    <n v="66"/>
  </r>
  <r>
    <x v="1"/>
    <x v="2"/>
    <x v="3"/>
    <n v="154"/>
    <x v="0"/>
    <x v="1"/>
    <n v="80"/>
    <n v="76"/>
    <n v="68"/>
  </r>
  <r>
    <x v="1"/>
    <x v="2"/>
    <x v="3"/>
    <n v="155"/>
    <x v="0"/>
    <x v="1"/>
    <n v="73"/>
    <n v="77"/>
    <n v="76"/>
  </r>
  <r>
    <x v="1"/>
    <x v="2"/>
    <x v="3"/>
    <n v="156"/>
    <x v="0"/>
    <x v="1"/>
    <n v="82"/>
    <n v="89"/>
    <n v="86"/>
  </r>
  <r>
    <x v="1"/>
    <x v="2"/>
    <x v="3"/>
    <n v="157"/>
    <x v="0"/>
    <x v="1"/>
    <n v="95"/>
    <n v="85"/>
    <n v="80"/>
  </r>
  <r>
    <x v="1"/>
    <x v="2"/>
    <x v="3"/>
    <n v="158"/>
    <x v="0"/>
    <x v="1"/>
    <n v="72"/>
    <n v="56"/>
    <n v="63"/>
  </r>
  <r>
    <x v="1"/>
    <x v="2"/>
    <x v="3"/>
    <n v="159"/>
    <x v="0"/>
    <x v="1"/>
    <n v="48"/>
    <n v="38"/>
    <n v="46"/>
  </r>
  <r>
    <x v="1"/>
    <x v="2"/>
    <x v="3"/>
    <n v="160"/>
    <x v="0"/>
    <x v="1"/>
    <n v="71"/>
    <n v="66"/>
    <n v="70"/>
  </r>
  <r>
    <x v="1"/>
    <x v="2"/>
    <x v="3"/>
    <n v="161"/>
    <x v="0"/>
    <x v="1"/>
    <n v="77"/>
    <n v="80"/>
    <n v="85"/>
  </r>
  <r>
    <x v="1"/>
    <x v="2"/>
    <x v="3"/>
    <n v="162"/>
    <x v="1"/>
    <x v="0"/>
    <n v="83"/>
    <n v="62"/>
    <n v="64"/>
  </r>
  <r>
    <x v="1"/>
    <x v="2"/>
    <x v="3"/>
    <n v="163"/>
    <x v="1"/>
    <x v="0"/>
    <n v="56"/>
    <n v="57"/>
    <n v="62"/>
  </r>
  <r>
    <x v="1"/>
    <x v="2"/>
    <x v="3"/>
    <n v="164"/>
    <x v="1"/>
    <x v="0"/>
    <n v="65"/>
    <n v="77"/>
    <n v="70"/>
  </r>
  <r>
    <x v="1"/>
    <x v="2"/>
    <x v="3"/>
    <n v="165"/>
    <x v="1"/>
    <x v="0"/>
    <n v="57"/>
    <n v="60"/>
    <n v="57"/>
  </r>
  <r>
    <x v="1"/>
    <x v="2"/>
    <x v="3"/>
    <n v="166"/>
    <x v="1"/>
    <x v="0"/>
    <n v="76"/>
    <n v="72"/>
    <n v="65"/>
  </r>
  <r>
    <x v="1"/>
    <x v="2"/>
    <x v="3"/>
    <n v="167"/>
    <x v="1"/>
    <x v="0"/>
    <n v="33"/>
    <n v="42"/>
    <n v="41"/>
  </r>
  <r>
    <x v="1"/>
    <x v="2"/>
    <x v="3"/>
    <n v="168"/>
    <x v="1"/>
    <x v="0"/>
    <n v="51"/>
    <n v="54"/>
    <n v="51"/>
  </r>
  <r>
    <x v="1"/>
    <x v="2"/>
    <x v="3"/>
    <n v="169"/>
    <x v="1"/>
    <x v="0"/>
    <n v="60"/>
    <n v="67"/>
    <n v="61"/>
  </r>
  <r>
    <x v="1"/>
    <x v="2"/>
    <x v="3"/>
    <n v="170"/>
    <x v="1"/>
    <x v="0"/>
    <n v="71"/>
    <n v="74"/>
    <n v="73"/>
  </r>
  <r>
    <x v="1"/>
    <x v="2"/>
    <x v="3"/>
    <n v="171"/>
    <x v="1"/>
    <x v="0"/>
    <n v="62"/>
    <n v="65"/>
    <n v="61"/>
  </r>
  <r>
    <x v="1"/>
    <x v="2"/>
    <x v="3"/>
    <n v="172"/>
    <x v="1"/>
    <x v="1"/>
    <n v="70"/>
    <n v="75"/>
    <n v="74"/>
  </r>
  <r>
    <x v="1"/>
    <x v="2"/>
    <x v="3"/>
    <n v="173"/>
    <x v="1"/>
    <x v="1"/>
    <n v="59"/>
    <n v="69"/>
    <n v="63"/>
  </r>
  <r>
    <x v="1"/>
    <x v="2"/>
    <x v="3"/>
    <n v="174"/>
    <x v="1"/>
    <x v="1"/>
    <n v="62"/>
    <n v="72"/>
    <n v="67"/>
  </r>
  <r>
    <x v="1"/>
    <x v="2"/>
    <x v="3"/>
    <n v="175"/>
    <x v="1"/>
    <x v="1"/>
    <n v="70"/>
    <n v="66"/>
    <n v="68"/>
  </r>
  <r>
    <x v="1"/>
    <x v="2"/>
    <x v="3"/>
    <n v="176"/>
    <x v="1"/>
    <x v="1"/>
    <n v="65"/>
    <n v="62"/>
    <n v="63"/>
  </r>
  <r>
    <x v="1"/>
    <x v="2"/>
    <x v="4"/>
    <n v="67"/>
    <x v="0"/>
    <x v="0"/>
    <n v="63"/>
    <n v="71"/>
    <n v="65"/>
  </r>
  <r>
    <x v="1"/>
    <x v="2"/>
    <x v="4"/>
    <n v="68"/>
    <x v="0"/>
    <x v="0"/>
    <n v="64"/>
    <n v="62"/>
    <n v="58"/>
  </r>
  <r>
    <x v="1"/>
    <x v="2"/>
    <x v="4"/>
    <n v="69"/>
    <x v="0"/>
    <x v="0"/>
    <n v="59"/>
    <n v="50"/>
    <n v="53"/>
  </r>
  <r>
    <x v="1"/>
    <x v="2"/>
    <x v="4"/>
    <n v="70"/>
    <x v="0"/>
    <x v="0"/>
    <n v="91"/>
    <n v="83"/>
    <n v="82"/>
  </r>
  <r>
    <x v="1"/>
    <x v="2"/>
    <x v="4"/>
    <n v="71"/>
    <x v="0"/>
    <x v="0"/>
    <n v="77"/>
    <n v="65"/>
    <n v="69"/>
  </r>
  <r>
    <x v="1"/>
    <x v="2"/>
    <x v="4"/>
    <n v="72"/>
    <x v="0"/>
    <x v="0"/>
    <n v="75"/>
    <n v="71"/>
    <n v="76"/>
  </r>
  <r>
    <x v="1"/>
    <x v="2"/>
    <x v="4"/>
    <n v="73"/>
    <x v="0"/>
    <x v="0"/>
    <n v="73"/>
    <n v="67"/>
    <n v="73"/>
  </r>
  <r>
    <x v="1"/>
    <x v="2"/>
    <x v="4"/>
    <n v="74"/>
    <x v="0"/>
    <x v="0"/>
    <n v="70"/>
    <n v="49"/>
    <n v="53"/>
  </r>
  <r>
    <x v="1"/>
    <x v="2"/>
    <x v="4"/>
    <n v="75"/>
    <x v="0"/>
    <x v="0"/>
    <n v="74"/>
    <n v="61"/>
    <n v="68"/>
  </r>
  <r>
    <x v="1"/>
    <x v="2"/>
    <x v="4"/>
    <n v="76"/>
    <x v="0"/>
    <x v="0"/>
    <n v="68"/>
    <n v="56"/>
    <n v="57"/>
  </r>
  <r>
    <x v="1"/>
    <x v="2"/>
    <x v="4"/>
    <n v="77"/>
    <x v="0"/>
    <x v="1"/>
    <n v="75"/>
    <n v="62"/>
    <n v="65"/>
  </r>
  <r>
    <x v="1"/>
    <x v="2"/>
    <x v="4"/>
    <n v="78"/>
    <x v="0"/>
    <x v="1"/>
    <n v="62"/>
    <n v="67"/>
    <n v="68"/>
  </r>
  <r>
    <x v="1"/>
    <x v="2"/>
    <x v="4"/>
    <n v="79"/>
    <x v="0"/>
    <x v="1"/>
    <n v="86"/>
    <n v="77"/>
    <n v="80"/>
  </r>
  <r>
    <x v="1"/>
    <x v="2"/>
    <x v="4"/>
    <n v="80"/>
    <x v="1"/>
    <x v="0"/>
    <n v="51"/>
    <n v="53"/>
    <n v="51"/>
  </r>
  <r>
    <x v="1"/>
    <x v="2"/>
    <x v="4"/>
    <n v="81"/>
    <x v="1"/>
    <x v="0"/>
    <n v="65"/>
    <n v="61"/>
    <n v="57"/>
  </r>
  <r>
    <x v="1"/>
    <x v="2"/>
    <x v="4"/>
    <n v="82"/>
    <x v="1"/>
    <x v="0"/>
    <n v="73"/>
    <n v="69"/>
    <n v="70"/>
  </r>
  <r>
    <x v="1"/>
    <x v="2"/>
    <x v="4"/>
    <n v="83"/>
    <x v="1"/>
    <x v="0"/>
    <n v="47"/>
    <n v="53"/>
    <n v="42"/>
  </r>
  <r>
    <x v="1"/>
    <x v="2"/>
    <x v="4"/>
    <n v="84"/>
    <x v="1"/>
    <x v="0"/>
    <n v="58"/>
    <n v="66"/>
    <n v="67"/>
  </r>
  <r>
    <x v="1"/>
    <x v="2"/>
    <x v="4"/>
    <n v="85"/>
    <x v="1"/>
    <x v="1"/>
    <n v="57"/>
    <n v="65"/>
    <n v="56"/>
  </r>
  <r>
    <x v="1"/>
    <x v="2"/>
    <x v="4"/>
    <n v="86"/>
    <x v="1"/>
    <x v="1"/>
    <n v="72"/>
    <n v="70"/>
    <n v="70"/>
  </r>
  <r>
    <x v="1"/>
    <x v="2"/>
    <x v="5"/>
    <n v="46"/>
    <x v="0"/>
    <x v="0"/>
    <n v="85"/>
    <n v="81"/>
    <n v="80"/>
  </r>
  <r>
    <x v="1"/>
    <x v="2"/>
    <x v="5"/>
    <n v="47"/>
    <x v="0"/>
    <x v="0"/>
    <n v="80"/>
    <n v="79"/>
    <n v="73"/>
  </r>
  <r>
    <x v="1"/>
    <x v="2"/>
    <x v="5"/>
    <n v="48"/>
    <x v="0"/>
    <x v="0"/>
    <n v="68"/>
    <n v="56"/>
    <n v="57"/>
  </r>
  <r>
    <x v="1"/>
    <x v="2"/>
    <x v="5"/>
    <n v="49"/>
    <x v="0"/>
    <x v="0"/>
    <n v="93"/>
    <n v="78"/>
    <n v="77"/>
  </r>
  <r>
    <x v="1"/>
    <x v="2"/>
    <x v="5"/>
    <n v="50"/>
    <x v="0"/>
    <x v="0"/>
    <n v="81"/>
    <n v="80"/>
    <n v="73"/>
  </r>
  <r>
    <x v="1"/>
    <x v="2"/>
    <x v="5"/>
    <n v="51"/>
    <x v="0"/>
    <x v="1"/>
    <n v="79"/>
    <n v="72"/>
    <n v="74"/>
  </r>
  <r>
    <x v="1"/>
    <x v="2"/>
    <x v="5"/>
    <n v="52"/>
    <x v="1"/>
    <x v="0"/>
    <n v="55"/>
    <n v="54"/>
    <n v="52"/>
  </r>
  <r>
    <x v="1"/>
    <x v="2"/>
    <x v="5"/>
    <n v="53"/>
    <x v="1"/>
    <x v="0"/>
    <n v="82"/>
    <n v="69"/>
    <n v="76"/>
  </r>
  <r>
    <x v="1"/>
    <x v="2"/>
    <x v="5"/>
    <n v="54"/>
    <x v="1"/>
    <x v="0"/>
    <n v="57"/>
    <n v="54"/>
    <n v="48"/>
  </r>
  <r>
    <x v="1"/>
    <x v="2"/>
    <x v="5"/>
    <n v="55"/>
    <x v="1"/>
    <x v="0"/>
    <n v="45"/>
    <n v="53"/>
    <n v="45"/>
  </r>
  <r>
    <x v="1"/>
    <x v="2"/>
    <x v="5"/>
    <n v="56"/>
    <x v="1"/>
    <x v="1"/>
    <n v="57"/>
    <n v="64"/>
    <n v="66"/>
  </r>
  <r>
    <x v="1"/>
    <x v="3"/>
    <x v="0"/>
    <n v="136"/>
    <x v="0"/>
    <x v="0"/>
    <n v="70"/>
    <n v="66"/>
    <n v="59"/>
  </r>
  <r>
    <x v="1"/>
    <x v="3"/>
    <x v="0"/>
    <n v="137"/>
    <x v="0"/>
    <x v="0"/>
    <n v="90"/>
    <n v="93"/>
    <n v="84"/>
  </r>
  <r>
    <x v="1"/>
    <x v="3"/>
    <x v="0"/>
    <n v="138"/>
    <x v="0"/>
    <x v="0"/>
    <n v="82"/>
    <n v="77"/>
    <n v="72"/>
  </r>
  <r>
    <x v="1"/>
    <x v="3"/>
    <x v="0"/>
    <n v="139"/>
    <x v="0"/>
    <x v="0"/>
    <n v="69"/>
    <n v="56"/>
    <n v="59"/>
  </r>
  <r>
    <x v="1"/>
    <x v="3"/>
    <x v="0"/>
    <n v="140"/>
    <x v="0"/>
    <x v="0"/>
    <n v="73"/>
    <n v="67"/>
    <n v="64"/>
  </r>
  <r>
    <x v="1"/>
    <x v="3"/>
    <x v="0"/>
    <n v="141"/>
    <x v="0"/>
    <x v="0"/>
    <n v="55"/>
    <n v="50"/>
    <n v="47"/>
  </r>
  <r>
    <x v="1"/>
    <x v="3"/>
    <x v="0"/>
    <n v="142"/>
    <x v="0"/>
    <x v="0"/>
    <n v="59"/>
    <n v="48"/>
    <n v="48"/>
  </r>
  <r>
    <x v="1"/>
    <x v="3"/>
    <x v="0"/>
    <n v="143"/>
    <x v="0"/>
    <x v="0"/>
    <n v="80"/>
    <n v="80"/>
    <n v="79"/>
  </r>
  <r>
    <x v="1"/>
    <x v="3"/>
    <x v="0"/>
    <n v="144"/>
    <x v="0"/>
    <x v="0"/>
    <n v="82"/>
    <n v="70"/>
    <n v="67"/>
  </r>
  <r>
    <x v="1"/>
    <x v="3"/>
    <x v="0"/>
    <n v="145"/>
    <x v="0"/>
    <x v="0"/>
    <n v="90"/>
    <n v="72"/>
    <n v="79"/>
  </r>
  <r>
    <x v="1"/>
    <x v="3"/>
    <x v="0"/>
    <n v="146"/>
    <x v="0"/>
    <x v="0"/>
    <n v="67"/>
    <n v="59"/>
    <n v="59"/>
  </r>
  <r>
    <x v="1"/>
    <x v="3"/>
    <x v="0"/>
    <n v="147"/>
    <x v="0"/>
    <x v="0"/>
    <n v="68"/>
    <n v="53"/>
    <n v="53"/>
  </r>
  <r>
    <x v="1"/>
    <x v="3"/>
    <x v="0"/>
    <n v="148"/>
    <x v="0"/>
    <x v="0"/>
    <n v="51"/>
    <n v="53"/>
    <n v="45"/>
  </r>
  <r>
    <x v="1"/>
    <x v="3"/>
    <x v="0"/>
    <n v="149"/>
    <x v="0"/>
    <x v="0"/>
    <n v="83"/>
    <n v="74"/>
    <n v="80"/>
  </r>
  <r>
    <x v="1"/>
    <x v="3"/>
    <x v="0"/>
    <n v="150"/>
    <x v="0"/>
    <x v="1"/>
    <n v="80"/>
    <n v="77"/>
    <n v="80"/>
  </r>
  <r>
    <x v="1"/>
    <x v="3"/>
    <x v="0"/>
    <n v="151"/>
    <x v="0"/>
    <x v="1"/>
    <n v="82"/>
    <n v="74"/>
    <n v="75"/>
  </r>
  <r>
    <x v="1"/>
    <x v="3"/>
    <x v="0"/>
    <n v="152"/>
    <x v="0"/>
    <x v="1"/>
    <n v="60"/>
    <n v="57"/>
    <n v="60"/>
  </r>
  <r>
    <x v="1"/>
    <x v="3"/>
    <x v="0"/>
    <n v="153"/>
    <x v="0"/>
    <x v="1"/>
    <n v="56"/>
    <n v="48"/>
    <n v="54"/>
  </r>
  <r>
    <x v="1"/>
    <x v="3"/>
    <x v="0"/>
    <n v="154"/>
    <x v="0"/>
    <x v="1"/>
    <n v="100"/>
    <n v="84"/>
    <n v="87"/>
  </r>
  <r>
    <x v="1"/>
    <x v="3"/>
    <x v="0"/>
    <n v="155"/>
    <x v="0"/>
    <x v="1"/>
    <n v="70"/>
    <n v="66"/>
    <n v="72"/>
  </r>
  <r>
    <x v="1"/>
    <x v="3"/>
    <x v="0"/>
    <n v="156"/>
    <x v="0"/>
    <x v="1"/>
    <n v="74"/>
    <n v="78"/>
    <n v="78"/>
  </r>
  <r>
    <x v="1"/>
    <x v="3"/>
    <x v="0"/>
    <n v="157"/>
    <x v="0"/>
    <x v="1"/>
    <n v="76"/>
    <n v="78"/>
    <n v="79"/>
  </r>
  <r>
    <x v="1"/>
    <x v="3"/>
    <x v="0"/>
    <n v="158"/>
    <x v="1"/>
    <x v="0"/>
    <n v="49"/>
    <n v="49"/>
    <n v="43"/>
  </r>
  <r>
    <x v="1"/>
    <x v="3"/>
    <x v="0"/>
    <n v="159"/>
    <x v="1"/>
    <x v="0"/>
    <n v="67"/>
    <n v="63"/>
    <n v="63"/>
  </r>
  <r>
    <x v="1"/>
    <x v="3"/>
    <x v="0"/>
    <n v="160"/>
    <x v="1"/>
    <x v="1"/>
    <n v="47"/>
    <n v="46"/>
    <n v="51"/>
  </r>
  <r>
    <x v="1"/>
    <x v="3"/>
    <x v="0"/>
    <n v="161"/>
    <x v="1"/>
    <x v="1"/>
    <n v="58"/>
    <n v="57"/>
    <n v="53"/>
  </r>
  <r>
    <x v="1"/>
    <x v="3"/>
    <x v="0"/>
    <n v="162"/>
    <x v="1"/>
    <x v="1"/>
    <n v="40"/>
    <n v="50"/>
    <n v="47"/>
  </r>
  <r>
    <x v="1"/>
    <x v="3"/>
    <x v="0"/>
    <n v="163"/>
    <x v="1"/>
    <x v="1"/>
    <n v="69"/>
    <n v="70"/>
    <n v="75"/>
  </r>
  <r>
    <x v="1"/>
    <x v="3"/>
    <x v="0"/>
    <n v="164"/>
    <x v="1"/>
    <x v="1"/>
    <n v="46"/>
    <n v="53"/>
    <n v="54"/>
  </r>
  <r>
    <x v="1"/>
    <x v="3"/>
    <x v="0"/>
    <n v="165"/>
    <x v="1"/>
    <x v="1"/>
    <n v="35"/>
    <n v="56"/>
    <n v="54"/>
  </r>
  <r>
    <x v="1"/>
    <x v="3"/>
    <x v="1"/>
    <n v="179"/>
    <x v="0"/>
    <x v="0"/>
    <n v="88"/>
    <n v="72"/>
    <n v="74"/>
  </r>
  <r>
    <x v="1"/>
    <x v="3"/>
    <x v="1"/>
    <n v="180"/>
    <x v="0"/>
    <x v="0"/>
    <n v="60"/>
    <n v="54"/>
    <n v="47"/>
  </r>
  <r>
    <x v="1"/>
    <x v="3"/>
    <x v="1"/>
    <n v="181"/>
    <x v="0"/>
    <x v="0"/>
    <n v="83"/>
    <n v="78"/>
    <n v="74"/>
  </r>
  <r>
    <x v="1"/>
    <x v="3"/>
    <x v="1"/>
    <n v="182"/>
    <x v="0"/>
    <x v="0"/>
    <n v="67"/>
    <n v="65"/>
    <n v="59"/>
  </r>
  <r>
    <x v="1"/>
    <x v="3"/>
    <x v="1"/>
    <n v="183"/>
    <x v="0"/>
    <x v="0"/>
    <n v="81"/>
    <n v="62"/>
    <n v="61"/>
  </r>
  <r>
    <x v="1"/>
    <x v="3"/>
    <x v="1"/>
    <n v="184"/>
    <x v="0"/>
    <x v="0"/>
    <n v="85"/>
    <n v="81"/>
    <n v="83"/>
  </r>
  <r>
    <x v="1"/>
    <x v="3"/>
    <x v="1"/>
    <n v="185"/>
    <x v="0"/>
    <x v="0"/>
    <n v="58"/>
    <n v="47"/>
    <n v="45"/>
  </r>
  <r>
    <x v="1"/>
    <x v="3"/>
    <x v="1"/>
    <n v="186"/>
    <x v="0"/>
    <x v="1"/>
    <n v="82"/>
    <n v="82"/>
    <n v="82"/>
  </r>
  <r>
    <x v="1"/>
    <x v="3"/>
    <x v="1"/>
    <n v="187"/>
    <x v="0"/>
    <x v="1"/>
    <n v="81"/>
    <n v="74"/>
    <n v="79"/>
  </r>
  <r>
    <x v="1"/>
    <x v="3"/>
    <x v="1"/>
    <n v="188"/>
    <x v="0"/>
    <x v="1"/>
    <n v="62"/>
    <n v="69"/>
    <n v="67"/>
  </r>
  <r>
    <x v="1"/>
    <x v="3"/>
    <x v="1"/>
    <n v="189"/>
    <x v="0"/>
    <x v="1"/>
    <n v="65"/>
    <n v="60"/>
    <n v="57"/>
  </r>
  <r>
    <x v="1"/>
    <x v="3"/>
    <x v="1"/>
    <n v="190"/>
    <x v="0"/>
    <x v="1"/>
    <n v="72"/>
    <n v="69"/>
    <n v="74"/>
  </r>
  <r>
    <x v="1"/>
    <x v="3"/>
    <x v="1"/>
    <n v="191"/>
    <x v="0"/>
    <x v="1"/>
    <n v="88"/>
    <n v="77"/>
    <n v="78"/>
  </r>
  <r>
    <x v="1"/>
    <x v="3"/>
    <x v="1"/>
    <n v="192"/>
    <x v="0"/>
    <x v="1"/>
    <n v="76"/>
    <n v="75"/>
    <n v="77"/>
  </r>
  <r>
    <x v="1"/>
    <x v="3"/>
    <x v="1"/>
    <n v="193"/>
    <x v="0"/>
    <x v="1"/>
    <n v="78"/>
    <n v="76"/>
    <n v="80"/>
  </r>
  <r>
    <x v="1"/>
    <x v="3"/>
    <x v="1"/>
    <n v="194"/>
    <x v="0"/>
    <x v="1"/>
    <n v="70"/>
    <n v="72"/>
    <n v="67"/>
  </r>
  <r>
    <x v="1"/>
    <x v="3"/>
    <x v="1"/>
    <n v="195"/>
    <x v="1"/>
    <x v="0"/>
    <n v="58"/>
    <n v="52"/>
    <n v="51"/>
  </r>
  <r>
    <x v="1"/>
    <x v="3"/>
    <x v="1"/>
    <n v="196"/>
    <x v="1"/>
    <x v="0"/>
    <n v="54"/>
    <n v="53"/>
    <n v="47"/>
  </r>
  <r>
    <x v="1"/>
    <x v="3"/>
    <x v="1"/>
    <n v="197"/>
    <x v="1"/>
    <x v="0"/>
    <n v="48"/>
    <n v="46"/>
    <n v="50"/>
  </r>
  <r>
    <x v="1"/>
    <x v="3"/>
    <x v="1"/>
    <n v="198"/>
    <x v="1"/>
    <x v="0"/>
    <n v="54"/>
    <n v="49"/>
    <n v="48"/>
  </r>
  <r>
    <x v="1"/>
    <x v="3"/>
    <x v="1"/>
    <n v="199"/>
    <x v="1"/>
    <x v="0"/>
    <n v="51"/>
    <n v="56"/>
    <n v="50"/>
  </r>
  <r>
    <x v="1"/>
    <x v="3"/>
    <x v="1"/>
    <n v="200"/>
    <x v="1"/>
    <x v="1"/>
    <n v="38"/>
    <n v="38"/>
    <n v="41"/>
  </r>
  <r>
    <x v="1"/>
    <x v="3"/>
    <x v="1"/>
    <n v="201"/>
    <x v="1"/>
    <x v="1"/>
    <n v="58"/>
    <n v="67"/>
    <n v="67"/>
  </r>
  <r>
    <x v="1"/>
    <x v="3"/>
    <x v="2"/>
    <n v="158"/>
    <x v="0"/>
    <x v="0"/>
    <n v="96"/>
    <n v="93"/>
    <n v="87"/>
  </r>
  <r>
    <x v="1"/>
    <x v="3"/>
    <x v="2"/>
    <n v="159"/>
    <x v="0"/>
    <x v="0"/>
    <n v="90"/>
    <n v="87"/>
    <n v="86"/>
  </r>
  <r>
    <x v="1"/>
    <x v="3"/>
    <x v="2"/>
    <n v="160"/>
    <x v="0"/>
    <x v="0"/>
    <n v="80"/>
    <n v="70"/>
    <n v="73"/>
  </r>
  <r>
    <x v="1"/>
    <x v="3"/>
    <x v="2"/>
    <n v="161"/>
    <x v="0"/>
    <x v="0"/>
    <n v="74"/>
    <n v="69"/>
    <n v="63"/>
  </r>
  <r>
    <x v="1"/>
    <x v="3"/>
    <x v="2"/>
    <n v="162"/>
    <x v="0"/>
    <x v="0"/>
    <n v="57"/>
    <n v="63"/>
    <n v="54"/>
  </r>
  <r>
    <x v="1"/>
    <x v="3"/>
    <x v="2"/>
    <n v="163"/>
    <x v="0"/>
    <x v="0"/>
    <n v="67"/>
    <n v="72"/>
    <n v="65"/>
  </r>
  <r>
    <x v="1"/>
    <x v="3"/>
    <x v="2"/>
    <n v="164"/>
    <x v="0"/>
    <x v="0"/>
    <n v="74"/>
    <n v="70"/>
    <n v="63"/>
  </r>
  <r>
    <x v="1"/>
    <x v="3"/>
    <x v="2"/>
    <n v="165"/>
    <x v="0"/>
    <x v="0"/>
    <n v="95"/>
    <n v="86"/>
    <n v="83"/>
  </r>
  <r>
    <x v="1"/>
    <x v="3"/>
    <x v="2"/>
    <n v="166"/>
    <x v="0"/>
    <x v="0"/>
    <n v="89"/>
    <n v="78"/>
    <n v="76"/>
  </r>
  <r>
    <x v="1"/>
    <x v="3"/>
    <x v="2"/>
    <n v="167"/>
    <x v="0"/>
    <x v="0"/>
    <n v="72"/>
    <n v="67"/>
    <n v="59"/>
  </r>
  <r>
    <x v="1"/>
    <x v="3"/>
    <x v="2"/>
    <n v="168"/>
    <x v="0"/>
    <x v="0"/>
    <n v="71"/>
    <n v="73"/>
    <n v="69"/>
  </r>
  <r>
    <x v="1"/>
    <x v="3"/>
    <x v="2"/>
    <n v="169"/>
    <x v="0"/>
    <x v="0"/>
    <n v="97"/>
    <n v="94"/>
    <n v="91"/>
  </r>
  <r>
    <x v="1"/>
    <x v="3"/>
    <x v="2"/>
    <n v="170"/>
    <x v="0"/>
    <x v="0"/>
    <n v="81"/>
    <n v="74"/>
    <n v="74"/>
  </r>
  <r>
    <x v="1"/>
    <x v="3"/>
    <x v="2"/>
    <n v="171"/>
    <x v="0"/>
    <x v="0"/>
    <n v="86"/>
    <n v="84"/>
    <n v="82"/>
  </r>
  <r>
    <x v="1"/>
    <x v="3"/>
    <x v="2"/>
    <n v="172"/>
    <x v="0"/>
    <x v="0"/>
    <n v="99"/>
    <n v="97"/>
    <n v="95"/>
  </r>
  <r>
    <x v="1"/>
    <x v="3"/>
    <x v="2"/>
    <n v="173"/>
    <x v="0"/>
    <x v="0"/>
    <n v="86"/>
    <n v="72"/>
    <n v="76"/>
  </r>
  <r>
    <x v="1"/>
    <x v="3"/>
    <x v="2"/>
    <n v="174"/>
    <x v="0"/>
    <x v="0"/>
    <n v="44"/>
    <n v="45"/>
    <n v="41"/>
  </r>
  <r>
    <x v="1"/>
    <x v="3"/>
    <x v="2"/>
    <n v="175"/>
    <x v="0"/>
    <x v="0"/>
    <n v="61"/>
    <n v="56"/>
    <n v="56"/>
  </r>
  <r>
    <x v="1"/>
    <x v="3"/>
    <x v="2"/>
    <n v="176"/>
    <x v="0"/>
    <x v="0"/>
    <n v="72"/>
    <n v="62"/>
    <n v="60"/>
  </r>
  <r>
    <x v="1"/>
    <x v="3"/>
    <x v="2"/>
    <n v="177"/>
    <x v="0"/>
    <x v="0"/>
    <n v="100"/>
    <n v="93"/>
    <n v="89"/>
  </r>
  <r>
    <x v="1"/>
    <x v="3"/>
    <x v="2"/>
    <n v="178"/>
    <x v="0"/>
    <x v="1"/>
    <n v="99"/>
    <n v="85"/>
    <n v="88"/>
  </r>
  <r>
    <x v="1"/>
    <x v="3"/>
    <x v="2"/>
    <n v="179"/>
    <x v="0"/>
    <x v="1"/>
    <n v="68"/>
    <n v="66"/>
    <n v="72"/>
  </r>
  <r>
    <x v="1"/>
    <x v="3"/>
    <x v="2"/>
    <n v="180"/>
    <x v="0"/>
    <x v="1"/>
    <n v="67"/>
    <n v="68"/>
    <n v="69"/>
  </r>
  <r>
    <x v="1"/>
    <x v="3"/>
    <x v="2"/>
    <n v="181"/>
    <x v="0"/>
    <x v="1"/>
    <n v="99"/>
    <n v="100"/>
    <n v="100"/>
  </r>
  <r>
    <x v="1"/>
    <x v="3"/>
    <x v="2"/>
    <n v="182"/>
    <x v="0"/>
    <x v="1"/>
    <n v="89"/>
    <n v="75"/>
    <n v="80"/>
  </r>
  <r>
    <x v="1"/>
    <x v="3"/>
    <x v="2"/>
    <n v="183"/>
    <x v="0"/>
    <x v="1"/>
    <n v="89"/>
    <n v="83"/>
    <n v="81"/>
  </r>
  <r>
    <x v="1"/>
    <x v="3"/>
    <x v="2"/>
    <n v="184"/>
    <x v="0"/>
    <x v="1"/>
    <n v="100"/>
    <n v="100"/>
    <n v="98"/>
  </r>
  <r>
    <x v="1"/>
    <x v="3"/>
    <x v="2"/>
    <n v="185"/>
    <x v="0"/>
    <x v="1"/>
    <n v="67"/>
    <n v="62"/>
    <n v="67"/>
  </r>
  <r>
    <x v="1"/>
    <x v="3"/>
    <x v="2"/>
    <n v="186"/>
    <x v="1"/>
    <x v="0"/>
    <n v="68"/>
    <n v="69"/>
    <n v="55"/>
  </r>
  <r>
    <x v="1"/>
    <x v="3"/>
    <x v="2"/>
    <n v="187"/>
    <x v="1"/>
    <x v="0"/>
    <n v="82"/>
    <n v="76"/>
    <n v="75"/>
  </r>
  <r>
    <x v="1"/>
    <x v="3"/>
    <x v="2"/>
    <n v="188"/>
    <x v="1"/>
    <x v="0"/>
    <n v="49"/>
    <n v="54"/>
    <n v="50"/>
  </r>
  <r>
    <x v="1"/>
    <x v="3"/>
    <x v="2"/>
    <n v="189"/>
    <x v="1"/>
    <x v="1"/>
    <n v="82"/>
    <n v="78"/>
    <n v="90"/>
  </r>
  <r>
    <x v="1"/>
    <x v="3"/>
    <x v="2"/>
    <n v="190"/>
    <x v="1"/>
    <x v="1"/>
    <n v="57"/>
    <n v="58"/>
    <n v="54"/>
  </r>
  <r>
    <x v="1"/>
    <x v="3"/>
    <x v="2"/>
    <n v="191"/>
    <x v="1"/>
    <x v="1"/>
    <n v="75"/>
    <n v="78"/>
    <n v="77"/>
  </r>
  <r>
    <x v="1"/>
    <x v="3"/>
    <x v="3"/>
    <n v="177"/>
    <x v="0"/>
    <x v="0"/>
    <n v="69"/>
    <n v="73"/>
    <n v="67"/>
  </r>
  <r>
    <x v="1"/>
    <x v="3"/>
    <x v="3"/>
    <n v="178"/>
    <x v="0"/>
    <x v="0"/>
    <n v="80"/>
    <n v="75"/>
    <n v="74"/>
  </r>
  <r>
    <x v="1"/>
    <x v="3"/>
    <x v="3"/>
    <n v="179"/>
    <x v="0"/>
    <x v="0"/>
    <n v="74"/>
    <n v="74"/>
    <n v="70"/>
  </r>
  <r>
    <x v="1"/>
    <x v="3"/>
    <x v="3"/>
    <n v="180"/>
    <x v="0"/>
    <x v="0"/>
    <n v="76"/>
    <n v="74"/>
    <n v="71"/>
  </r>
  <r>
    <x v="1"/>
    <x v="3"/>
    <x v="3"/>
    <n v="181"/>
    <x v="0"/>
    <x v="0"/>
    <n v="75"/>
    <n v="66"/>
    <n v="72"/>
  </r>
  <r>
    <x v="1"/>
    <x v="3"/>
    <x v="3"/>
    <n v="182"/>
    <x v="0"/>
    <x v="0"/>
    <n v="74"/>
    <n v="63"/>
    <n v="65"/>
  </r>
  <r>
    <x v="1"/>
    <x v="3"/>
    <x v="3"/>
    <n v="183"/>
    <x v="0"/>
    <x v="0"/>
    <n v="98"/>
    <n v="88"/>
    <n v="85"/>
  </r>
  <r>
    <x v="1"/>
    <x v="3"/>
    <x v="3"/>
    <n v="184"/>
    <x v="0"/>
    <x v="0"/>
    <n v="81"/>
    <n v="86"/>
    <n v="78"/>
  </r>
  <r>
    <x v="1"/>
    <x v="3"/>
    <x v="3"/>
    <n v="185"/>
    <x v="0"/>
    <x v="0"/>
    <n v="92"/>
    <n v="77"/>
    <n v="84"/>
  </r>
  <r>
    <x v="1"/>
    <x v="3"/>
    <x v="3"/>
    <n v="186"/>
    <x v="0"/>
    <x v="0"/>
    <n v="79"/>
    <n v="56"/>
    <n v="68"/>
  </r>
  <r>
    <x v="1"/>
    <x v="3"/>
    <x v="3"/>
    <n v="187"/>
    <x v="0"/>
    <x v="0"/>
    <n v="63"/>
    <n v="60"/>
    <n v="53"/>
  </r>
  <r>
    <x v="1"/>
    <x v="3"/>
    <x v="3"/>
    <n v="188"/>
    <x v="0"/>
    <x v="0"/>
    <n v="59"/>
    <n v="62"/>
    <n v="52"/>
  </r>
  <r>
    <x v="1"/>
    <x v="3"/>
    <x v="3"/>
    <n v="189"/>
    <x v="0"/>
    <x v="1"/>
    <n v="96"/>
    <n v="92"/>
    <n v="88"/>
  </r>
  <r>
    <x v="1"/>
    <x v="3"/>
    <x v="3"/>
    <n v="190"/>
    <x v="0"/>
    <x v="1"/>
    <n v="70"/>
    <n v="66"/>
    <n v="68"/>
  </r>
  <r>
    <x v="1"/>
    <x v="3"/>
    <x v="3"/>
    <n v="191"/>
    <x v="0"/>
    <x v="1"/>
    <n v="82"/>
    <n v="79"/>
    <n v="81"/>
  </r>
  <r>
    <x v="1"/>
    <x v="3"/>
    <x v="3"/>
    <n v="192"/>
    <x v="0"/>
    <x v="1"/>
    <n v="69"/>
    <n v="58"/>
    <n v="60"/>
  </r>
  <r>
    <x v="1"/>
    <x v="3"/>
    <x v="3"/>
    <n v="193"/>
    <x v="0"/>
    <x v="1"/>
    <n v="80"/>
    <n v="67"/>
    <n v="72"/>
  </r>
  <r>
    <x v="1"/>
    <x v="3"/>
    <x v="3"/>
    <n v="194"/>
    <x v="0"/>
    <x v="1"/>
    <n v="94"/>
    <n v="97"/>
    <n v="95"/>
  </r>
  <r>
    <x v="1"/>
    <x v="3"/>
    <x v="3"/>
    <n v="195"/>
    <x v="1"/>
    <x v="0"/>
    <n v="82"/>
    <n v="72"/>
    <n v="69"/>
  </r>
  <r>
    <x v="1"/>
    <x v="3"/>
    <x v="3"/>
    <n v="196"/>
    <x v="1"/>
    <x v="0"/>
    <n v="62"/>
    <n v="61"/>
    <n v="57"/>
  </r>
  <r>
    <x v="1"/>
    <x v="3"/>
    <x v="3"/>
    <n v="197"/>
    <x v="1"/>
    <x v="0"/>
    <n v="61"/>
    <n v="53"/>
    <n v="48"/>
  </r>
  <r>
    <x v="1"/>
    <x v="3"/>
    <x v="3"/>
    <n v="198"/>
    <x v="1"/>
    <x v="0"/>
    <n v="59"/>
    <n v="45"/>
    <n v="44"/>
  </r>
  <r>
    <x v="1"/>
    <x v="3"/>
    <x v="3"/>
    <n v="199"/>
    <x v="1"/>
    <x v="0"/>
    <n v="62"/>
    <n v="58"/>
    <n v="56"/>
  </r>
  <r>
    <x v="1"/>
    <x v="3"/>
    <x v="3"/>
    <n v="200"/>
    <x v="1"/>
    <x v="0"/>
    <n v="67"/>
    <n v="58"/>
    <n v="58"/>
  </r>
  <r>
    <x v="1"/>
    <x v="3"/>
    <x v="3"/>
    <n v="201"/>
    <x v="1"/>
    <x v="0"/>
    <n v="66"/>
    <n v="56"/>
    <n v="56"/>
  </r>
  <r>
    <x v="1"/>
    <x v="3"/>
    <x v="3"/>
    <n v="202"/>
    <x v="1"/>
    <x v="1"/>
    <n v="73"/>
    <n v="68"/>
    <n v="72"/>
  </r>
  <r>
    <x v="1"/>
    <x v="3"/>
    <x v="3"/>
    <n v="203"/>
    <x v="1"/>
    <x v="1"/>
    <n v="77"/>
    <n v="77"/>
    <n v="77"/>
  </r>
  <r>
    <x v="1"/>
    <x v="3"/>
    <x v="3"/>
    <n v="204"/>
    <x v="1"/>
    <x v="1"/>
    <n v="56"/>
    <n v="61"/>
    <n v="62"/>
  </r>
  <r>
    <x v="1"/>
    <x v="3"/>
    <x v="3"/>
    <n v="205"/>
    <x v="1"/>
    <x v="1"/>
    <n v="67"/>
    <n v="78"/>
    <n v="70"/>
  </r>
  <r>
    <x v="1"/>
    <x v="3"/>
    <x v="4"/>
    <n v="87"/>
    <x v="0"/>
    <x v="0"/>
    <n v="39"/>
    <n v="45"/>
    <n v="36"/>
  </r>
  <r>
    <x v="1"/>
    <x v="3"/>
    <x v="4"/>
    <n v="88"/>
    <x v="0"/>
    <x v="0"/>
    <n v="76"/>
    <n v="65"/>
    <n v="70"/>
  </r>
  <r>
    <x v="1"/>
    <x v="3"/>
    <x v="4"/>
    <n v="89"/>
    <x v="0"/>
    <x v="0"/>
    <n v="63"/>
    <n v="65"/>
    <n v="58"/>
  </r>
  <r>
    <x v="1"/>
    <x v="3"/>
    <x v="4"/>
    <n v="90"/>
    <x v="0"/>
    <x v="0"/>
    <n v="74"/>
    <n v="76"/>
    <n v="73"/>
  </r>
  <r>
    <x v="1"/>
    <x v="3"/>
    <x v="4"/>
    <n v="91"/>
    <x v="0"/>
    <x v="0"/>
    <n v="71"/>
    <n v="67"/>
    <n v="64"/>
  </r>
  <r>
    <x v="1"/>
    <x v="3"/>
    <x v="4"/>
    <n v="92"/>
    <x v="0"/>
    <x v="0"/>
    <n v="55"/>
    <n v="35"/>
    <n v="43"/>
  </r>
  <r>
    <x v="1"/>
    <x v="3"/>
    <x v="4"/>
    <n v="93"/>
    <x v="0"/>
    <x v="0"/>
    <n v="64"/>
    <n v="63"/>
    <n v="64"/>
  </r>
  <r>
    <x v="1"/>
    <x v="3"/>
    <x v="4"/>
    <n v="94"/>
    <x v="0"/>
    <x v="1"/>
    <n v="100"/>
    <n v="100"/>
    <n v="100"/>
  </r>
  <r>
    <x v="1"/>
    <x v="3"/>
    <x v="4"/>
    <n v="95"/>
    <x v="0"/>
    <x v="1"/>
    <n v="98"/>
    <n v="96"/>
    <n v="100"/>
  </r>
  <r>
    <x v="1"/>
    <x v="3"/>
    <x v="4"/>
    <n v="96"/>
    <x v="0"/>
    <x v="1"/>
    <n v="97"/>
    <n v="91"/>
    <n v="96"/>
  </r>
  <r>
    <x v="1"/>
    <x v="3"/>
    <x v="4"/>
    <n v="97"/>
    <x v="1"/>
    <x v="0"/>
    <n v="72"/>
    <n v="71"/>
    <n v="65"/>
  </r>
  <r>
    <x v="1"/>
    <x v="3"/>
    <x v="4"/>
    <n v="98"/>
    <x v="1"/>
    <x v="0"/>
    <n v="63"/>
    <n v="59"/>
    <n v="51"/>
  </r>
  <r>
    <x v="1"/>
    <x v="3"/>
    <x v="4"/>
    <n v="99"/>
    <x v="1"/>
    <x v="0"/>
    <n v="85"/>
    <n v="78"/>
    <n v="81"/>
  </r>
  <r>
    <x v="1"/>
    <x v="3"/>
    <x v="5"/>
    <n v="57"/>
    <x v="0"/>
    <x v="0"/>
    <n v="100"/>
    <n v="97"/>
    <n v="91"/>
  </r>
  <r>
    <x v="1"/>
    <x v="3"/>
    <x v="5"/>
    <n v="58"/>
    <x v="0"/>
    <x v="0"/>
    <n v="82"/>
    <n v="84"/>
    <n v="81"/>
  </r>
  <r>
    <x v="1"/>
    <x v="3"/>
    <x v="5"/>
    <n v="59"/>
    <x v="0"/>
    <x v="0"/>
    <n v="71"/>
    <n v="61"/>
    <n v="63"/>
  </r>
  <r>
    <x v="1"/>
    <x v="3"/>
    <x v="5"/>
    <n v="60"/>
    <x v="0"/>
    <x v="0"/>
    <n v="70"/>
    <n v="65"/>
    <n v="56"/>
  </r>
  <r>
    <x v="1"/>
    <x v="3"/>
    <x v="5"/>
    <n v="61"/>
    <x v="0"/>
    <x v="0"/>
    <n v="88"/>
    <n v="72"/>
    <n v="78"/>
  </r>
  <r>
    <x v="1"/>
    <x v="3"/>
    <x v="5"/>
    <n v="62"/>
    <x v="1"/>
    <x v="0"/>
    <n v="83"/>
    <n v="86"/>
    <n v="87"/>
  </r>
  <r>
    <x v="1"/>
    <x v="3"/>
    <x v="5"/>
    <n v="63"/>
    <x v="1"/>
    <x v="0"/>
    <n v="75"/>
    <n v="65"/>
    <n v="65"/>
  </r>
  <r>
    <x v="1"/>
    <x v="3"/>
    <x v="5"/>
    <n v="64"/>
    <x v="1"/>
    <x v="1"/>
    <n v="91"/>
    <n v="93"/>
    <n v="95"/>
  </r>
  <r>
    <x v="1"/>
    <x v="3"/>
    <x v="5"/>
    <n v="65"/>
    <x v="1"/>
    <x v="1"/>
    <n v="67"/>
    <n v="71"/>
    <n v="70"/>
  </r>
  <r>
    <x v="1"/>
    <x v="3"/>
    <x v="5"/>
    <n v="66"/>
    <x v="1"/>
    <x v="1"/>
    <n v="75"/>
    <n v="70"/>
    <n v="76"/>
  </r>
  <r>
    <x v="1"/>
    <x v="4"/>
    <x v="0"/>
    <n v="166"/>
    <x v="0"/>
    <x v="0"/>
    <n v="94"/>
    <n v="86"/>
    <n v="82"/>
  </r>
  <r>
    <x v="1"/>
    <x v="4"/>
    <x v="0"/>
    <n v="167"/>
    <x v="0"/>
    <x v="0"/>
    <n v="77"/>
    <n v="62"/>
    <n v="57"/>
  </r>
  <r>
    <x v="1"/>
    <x v="4"/>
    <x v="0"/>
    <n v="168"/>
    <x v="0"/>
    <x v="0"/>
    <n v="75"/>
    <n v="71"/>
    <n v="68"/>
  </r>
  <r>
    <x v="1"/>
    <x v="4"/>
    <x v="0"/>
    <n v="169"/>
    <x v="0"/>
    <x v="0"/>
    <n v="74"/>
    <n v="60"/>
    <n v="59"/>
  </r>
  <r>
    <x v="1"/>
    <x v="4"/>
    <x v="0"/>
    <n v="170"/>
    <x v="0"/>
    <x v="0"/>
    <n v="66"/>
    <n v="63"/>
    <n v="60"/>
  </r>
  <r>
    <x v="1"/>
    <x v="4"/>
    <x v="0"/>
    <n v="171"/>
    <x v="0"/>
    <x v="0"/>
    <n v="73"/>
    <n v="62"/>
    <n v="59"/>
  </r>
  <r>
    <x v="1"/>
    <x v="4"/>
    <x v="0"/>
    <n v="172"/>
    <x v="0"/>
    <x v="0"/>
    <n v="94"/>
    <n v="75"/>
    <n v="75"/>
  </r>
  <r>
    <x v="1"/>
    <x v="4"/>
    <x v="0"/>
    <n v="173"/>
    <x v="0"/>
    <x v="0"/>
    <n v="92"/>
    <n v="80"/>
    <n v="78"/>
  </r>
  <r>
    <x v="1"/>
    <x v="4"/>
    <x v="0"/>
    <n v="174"/>
    <x v="0"/>
    <x v="1"/>
    <n v="87"/>
    <n v="83"/>
    <n v="80"/>
  </r>
  <r>
    <x v="1"/>
    <x v="4"/>
    <x v="0"/>
    <n v="175"/>
    <x v="1"/>
    <x v="0"/>
    <n v="57"/>
    <n v="45"/>
    <n v="46"/>
  </r>
  <r>
    <x v="1"/>
    <x v="4"/>
    <x v="0"/>
    <n v="176"/>
    <x v="1"/>
    <x v="0"/>
    <n v="66"/>
    <n v="60"/>
    <n v="59"/>
  </r>
  <r>
    <x v="1"/>
    <x v="4"/>
    <x v="0"/>
    <n v="177"/>
    <x v="1"/>
    <x v="0"/>
    <n v="47"/>
    <n v="54"/>
    <n v="48"/>
  </r>
  <r>
    <x v="1"/>
    <x v="4"/>
    <x v="1"/>
    <n v="202"/>
    <x v="0"/>
    <x v="0"/>
    <n v="81"/>
    <n v="70"/>
    <n v="70"/>
  </r>
  <r>
    <x v="1"/>
    <x v="4"/>
    <x v="1"/>
    <n v="203"/>
    <x v="0"/>
    <x v="0"/>
    <n v="100"/>
    <n v="91"/>
    <n v="85"/>
  </r>
  <r>
    <x v="1"/>
    <x v="4"/>
    <x v="1"/>
    <n v="204"/>
    <x v="0"/>
    <x v="0"/>
    <n v="96"/>
    <n v="94"/>
    <n v="93"/>
  </r>
  <r>
    <x v="1"/>
    <x v="4"/>
    <x v="1"/>
    <n v="205"/>
    <x v="0"/>
    <x v="0"/>
    <n v="90"/>
    <n v="80"/>
    <n v="78"/>
  </r>
  <r>
    <x v="1"/>
    <x v="4"/>
    <x v="1"/>
    <n v="206"/>
    <x v="0"/>
    <x v="0"/>
    <n v="93"/>
    <n v="86"/>
    <n v="76"/>
  </r>
  <r>
    <x v="1"/>
    <x v="4"/>
    <x v="1"/>
    <n v="207"/>
    <x v="0"/>
    <x v="0"/>
    <n v="87"/>
    <n v="84"/>
    <n v="76"/>
  </r>
  <r>
    <x v="1"/>
    <x v="4"/>
    <x v="1"/>
    <n v="208"/>
    <x v="0"/>
    <x v="0"/>
    <n v="80"/>
    <n v="72"/>
    <n v="62"/>
  </r>
  <r>
    <x v="1"/>
    <x v="4"/>
    <x v="1"/>
    <n v="209"/>
    <x v="0"/>
    <x v="1"/>
    <n v="83"/>
    <n v="80"/>
    <n v="82"/>
  </r>
  <r>
    <x v="1"/>
    <x v="4"/>
    <x v="1"/>
    <n v="210"/>
    <x v="0"/>
    <x v="1"/>
    <n v="84"/>
    <n v="79"/>
    <n v="75"/>
  </r>
  <r>
    <x v="1"/>
    <x v="4"/>
    <x v="1"/>
    <n v="211"/>
    <x v="1"/>
    <x v="0"/>
    <n v="81"/>
    <n v="84"/>
    <n v="78"/>
  </r>
  <r>
    <x v="1"/>
    <x v="4"/>
    <x v="1"/>
    <n v="212"/>
    <x v="1"/>
    <x v="0"/>
    <n v="59"/>
    <n v="55"/>
    <n v="46"/>
  </r>
  <r>
    <x v="1"/>
    <x v="4"/>
    <x v="1"/>
    <n v="213"/>
    <x v="1"/>
    <x v="0"/>
    <n v="61"/>
    <n v="56"/>
    <n v="52"/>
  </r>
  <r>
    <x v="1"/>
    <x v="4"/>
    <x v="1"/>
    <n v="214"/>
    <x v="1"/>
    <x v="1"/>
    <n v="76"/>
    <n v="61"/>
    <n v="61"/>
  </r>
  <r>
    <x v="1"/>
    <x v="4"/>
    <x v="1"/>
    <n v="215"/>
    <x v="1"/>
    <x v="1"/>
    <n v="74"/>
    <n v="67"/>
    <n v="61"/>
  </r>
  <r>
    <x v="1"/>
    <x v="4"/>
    <x v="2"/>
    <n v="192"/>
    <x v="0"/>
    <x v="0"/>
    <n v="89"/>
    <n v="88"/>
    <n v="86"/>
  </r>
  <r>
    <x v="1"/>
    <x v="4"/>
    <x v="2"/>
    <n v="193"/>
    <x v="0"/>
    <x v="0"/>
    <n v="83"/>
    <n v="83"/>
    <n v="78"/>
  </r>
  <r>
    <x v="1"/>
    <x v="4"/>
    <x v="2"/>
    <n v="194"/>
    <x v="0"/>
    <x v="0"/>
    <n v="75"/>
    <n v="68"/>
    <n v="68"/>
  </r>
  <r>
    <x v="1"/>
    <x v="4"/>
    <x v="2"/>
    <n v="195"/>
    <x v="0"/>
    <x v="0"/>
    <n v="78"/>
    <n v="73"/>
    <n v="65"/>
  </r>
  <r>
    <x v="1"/>
    <x v="4"/>
    <x v="2"/>
    <n v="196"/>
    <x v="0"/>
    <x v="0"/>
    <n v="56"/>
    <n v="44"/>
    <n v="44"/>
  </r>
  <r>
    <x v="1"/>
    <x v="4"/>
    <x v="2"/>
    <n v="197"/>
    <x v="0"/>
    <x v="0"/>
    <n v="71"/>
    <n v="63"/>
    <n v="53"/>
  </r>
  <r>
    <x v="1"/>
    <x v="4"/>
    <x v="2"/>
    <n v="198"/>
    <x v="0"/>
    <x v="0"/>
    <n v="82"/>
    <n v="76"/>
    <n v="71"/>
  </r>
  <r>
    <x v="1"/>
    <x v="4"/>
    <x v="2"/>
    <n v="199"/>
    <x v="0"/>
    <x v="1"/>
    <n v="93"/>
    <n v="87"/>
    <n v="84"/>
  </r>
  <r>
    <x v="1"/>
    <x v="4"/>
    <x v="2"/>
    <n v="200"/>
    <x v="0"/>
    <x v="1"/>
    <n v="82"/>
    <n v="78"/>
    <n v="78"/>
  </r>
  <r>
    <x v="1"/>
    <x v="4"/>
    <x v="2"/>
    <n v="201"/>
    <x v="0"/>
    <x v="1"/>
    <n v="88"/>
    <n v="78"/>
    <n v="86"/>
  </r>
  <r>
    <x v="1"/>
    <x v="4"/>
    <x v="2"/>
    <n v="202"/>
    <x v="0"/>
    <x v="1"/>
    <n v="84"/>
    <n v="75"/>
    <n v="75"/>
  </r>
  <r>
    <x v="1"/>
    <x v="4"/>
    <x v="2"/>
    <n v="203"/>
    <x v="1"/>
    <x v="0"/>
    <n v="57"/>
    <n v="45"/>
    <n v="42"/>
  </r>
  <r>
    <x v="1"/>
    <x v="4"/>
    <x v="2"/>
    <n v="204"/>
    <x v="1"/>
    <x v="1"/>
    <n v="66"/>
    <n v="60"/>
    <n v="64"/>
  </r>
  <r>
    <x v="1"/>
    <x v="4"/>
    <x v="3"/>
    <n v="206"/>
    <x v="0"/>
    <x v="0"/>
    <n v="98"/>
    <n v="79"/>
    <n v="85"/>
  </r>
  <r>
    <x v="1"/>
    <x v="4"/>
    <x v="3"/>
    <n v="207"/>
    <x v="0"/>
    <x v="0"/>
    <n v="88"/>
    <n v="81"/>
    <n v="77"/>
  </r>
  <r>
    <x v="1"/>
    <x v="4"/>
    <x v="3"/>
    <n v="208"/>
    <x v="0"/>
    <x v="0"/>
    <n v="88"/>
    <n v="76"/>
    <n v="81"/>
  </r>
  <r>
    <x v="1"/>
    <x v="4"/>
    <x v="3"/>
    <n v="209"/>
    <x v="0"/>
    <x v="0"/>
    <n v="97"/>
    <n v="96"/>
    <n v="89"/>
  </r>
  <r>
    <x v="1"/>
    <x v="4"/>
    <x v="3"/>
    <n v="210"/>
    <x v="0"/>
    <x v="0"/>
    <n v="75"/>
    <n v="66"/>
    <n v="59"/>
  </r>
  <r>
    <x v="1"/>
    <x v="4"/>
    <x v="3"/>
    <n v="211"/>
    <x v="0"/>
    <x v="0"/>
    <n v="81"/>
    <n v="78"/>
    <n v="68"/>
  </r>
  <r>
    <x v="1"/>
    <x v="4"/>
    <x v="3"/>
    <n v="212"/>
    <x v="0"/>
    <x v="0"/>
    <n v="81"/>
    <n v="72"/>
    <n v="70"/>
  </r>
  <r>
    <x v="1"/>
    <x v="4"/>
    <x v="3"/>
    <n v="213"/>
    <x v="0"/>
    <x v="1"/>
    <n v="61"/>
    <n v="49"/>
    <n v="52"/>
  </r>
  <r>
    <x v="1"/>
    <x v="4"/>
    <x v="3"/>
    <n v="214"/>
    <x v="0"/>
    <x v="1"/>
    <n v="80"/>
    <n v="70"/>
    <n v="71"/>
  </r>
  <r>
    <x v="1"/>
    <x v="4"/>
    <x v="3"/>
    <n v="215"/>
    <x v="0"/>
    <x v="1"/>
    <n v="84"/>
    <n v="77"/>
    <n v="79"/>
  </r>
  <r>
    <x v="1"/>
    <x v="4"/>
    <x v="3"/>
    <n v="216"/>
    <x v="0"/>
    <x v="1"/>
    <n v="97"/>
    <n v="88"/>
    <n v="81"/>
  </r>
  <r>
    <x v="1"/>
    <x v="4"/>
    <x v="3"/>
    <n v="217"/>
    <x v="0"/>
    <x v="1"/>
    <n v="100"/>
    <n v="89"/>
    <n v="86"/>
  </r>
  <r>
    <x v="1"/>
    <x v="4"/>
    <x v="3"/>
    <n v="218"/>
    <x v="0"/>
    <x v="1"/>
    <n v="99"/>
    <n v="98"/>
    <n v="93"/>
  </r>
  <r>
    <x v="1"/>
    <x v="4"/>
    <x v="3"/>
    <n v="219"/>
    <x v="0"/>
    <x v="1"/>
    <n v="87"/>
    <n v="87"/>
    <n v="79"/>
  </r>
  <r>
    <x v="1"/>
    <x v="4"/>
    <x v="3"/>
    <n v="220"/>
    <x v="0"/>
    <x v="1"/>
    <n v="91"/>
    <n v="76"/>
    <n v="78"/>
  </r>
  <r>
    <x v="1"/>
    <x v="4"/>
    <x v="3"/>
    <n v="221"/>
    <x v="0"/>
    <x v="1"/>
    <n v="90"/>
    <n v="93"/>
    <n v="91"/>
  </r>
  <r>
    <x v="1"/>
    <x v="4"/>
    <x v="3"/>
    <n v="222"/>
    <x v="1"/>
    <x v="0"/>
    <n v="73"/>
    <n v="73"/>
    <n v="63"/>
  </r>
  <r>
    <x v="1"/>
    <x v="4"/>
    <x v="3"/>
    <n v="223"/>
    <x v="1"/>
    <x v="0"/>
    <n v="67"/>
    <n v="67"/>
    <n v="62"/>
  </r>
  <r>
    <x v="1"/>
    <x v="4"/>
    <x v="3"/>
    <n v="224"/>
    <x v="1"/>
    <x v="1"/>
    <n v="72"/>
    <n v="73"/>
    <n v="75"/>
  </r>
  <r>
    <x v="1"/>
    <x v="4"/>
    <x v="4"/>
    <n v="100"/>
    <x v="0"/>
    <x v="0"/>
    <n v="85"/>
    <n v="77"/>
    <n v="78"/>
  </r>
  <r>
    <x v="1"/>
    <x v="4"/>
    <x v="4"/>
    <n v="101"/>
    <x v="0"/>
    <x v="0"/>
    <n v="56"/>
    <n v="50"/>
    <n v="50"/>
  </r>
  <r>
    <x v="1"/>
    <x v="4"/>
    <x v="4"/>
    <n v="102"/>
    <x v="0"/>
    <x v="1"/>
    <n v="95"/>
    <n v="90"/>
    <n v="89"/>
  </r>
  <r>
    <x v="1"/>
    <x v="4"/>
    <x v="4"/>
    <n v="103"/>
    <x v="0"/>
    <x v="1"/>
    <n v="100"/>
    <n v="100"/>
    <n v="100"/>
  </r>
  <r>
    <x v="1"/>
    <x v="4"/>
    <x v="4"/>
    <n v="104"/>
    <x v="1"/>
    <x v="0"/>
    <n v="62"/>
    <n v="69"/>
    <n v="60"/>
  </r>
  <r>
    <x v="1"/>
    <x v="4"/>
    <x v="4"/>
    <n v="105"/>
    <x v="1"/>
    <x v="0"/>
    <n v="87"/>
    <n v="79"/>
    <n v="72"/>
  </r>
  <r>
    <x v="1"/>
    <x v="4"/>
    <x v="5"/>
    <n v="67"/>
    <x v="0"/>
    <x v="0"/>
    <n v="89"/>
    <n v="85"/>
    <n v="78"/>
  </r>
  <r>
    <x v="1"/>
    <x v="4"/>
    <x v="5"/>
    <n v="68"/>
    <x v="0"/>
    <x v="0"/>
    <n v="43"/>
    <n v="45"/>
    <n v="38"/>
  </r>
  <r>
    <x v="1"/>
    <x v="4"/>
    <x v="5"/>
    <n v="69"/>
    <x v="0"/>
    <x v="0"/>
    <n v="91"/>
    <n v="82"/>
    <n v="74"/>
  </r>
  <r>
    <x v="1"/>
    <x v="4"/>
    <x v="5"/>
    <n v="70"/>
    <x v="0"/>
    <x v="1"/>
    <n v="88"/>
    <n v="89"/>
    <n v="87"/>
  </r>
  <r>
    <x v="1"/>
    <x v="4"/>
    <x v="5"/>
    <n v="71"/>
    <x v="0"/>
    <x v="1"/>
    <n v="84"/>
    <n v="76"/>
    <n v="81"/>
  </r>
  <r>
    <x v="1"/>
    <x v="4"/>
    <x v="5"/>
    <n v="72"/>
    <x v="1"/>
    <x v="0"/>
    <n v="56"/>
    <n v="46"/>
    <n v="43"/>
  </r>
  <r>
    <x v="1"/>
    <x v="4"/>
    <x v="5"/>
    <n v="73"/>
    <x v="1"/>
    <x v="0"/>
    <n v="74"/>
    <n v="67"/>
    <n v="67"/>
  </r>
  <r>
    <x v="1"/>
    <x v="4"/>
    <x v="5"/>
    <n v="74"/>
    <x v="1"/>
    <x v="0"/>
    <n v="69"/>
    <n v="56"/>
    <n v="56"/>
  </r>
  <r>
    <x v="1"/>
    <x v="4"/>
    <x v="5"/>
    <n v="75"/>
    <x v="1"/>
    <x v="0"/>
    <n v="68"/>
    <n v="70"/>
    <n v="6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x v="0"/>
    <x v="0"/>
    <x v="0"/>
    <n v="1"/>
    <x v="0"/>
    <x v="0"/>
    <n v="57"/>
    <n v="53"/>
    <n v="54"/>
  </r>
  <r>
    <x v="0"/>
    <x v="0"/>
    <x v="0"/>
    <n v="2"/>
    <x v="0"/>
    <x v="0"/>
    <n v="70"/>
    <n v="82"/>
    <n v="83"/>
  </r>
  <r>
    <x v="0"/>
    <x v="0"/>
    <x v="0"/>
    <n v="3"/>
    <x v="0"/>
    <x v="0"/>
    <n v="70"/>
    <n v="75"/>
    <n v="70"/>
  </r>
  <r>
    <x v="0"/>
    <x v="0"/>
    <x v="0"/>
    <n v="4"/>
    <x v="0"/>
    <x v="1"/>
    <n v="57"/>
    <n v="68"/>
    <n v="74"/>
  </r>
  <r>
    <x v="0"/>
    <x v="0"/>
    <x v="0"/>
    <n v="5"/>
    <x v="0"/>
    <x v="1"/>
    <n v="64"/>
    <n v="81"/>
    <n v="87"/>
  </r>
  <r>
    <x v="0"/>
    <x v="0"/>
    <x v="0"/>
    <n v="6"/>
    <x v="1"/>
    <x v="0"/>
    <n v="57"/>
    <n v="70"/>
    <n v="71"/>
  </r>
  <r>
    <x v="0"/>
    <x v="0"/>
    <x v="0"/>
    <n v="7"/>
    <x v="1"/>
    <x v="0"/>
    <n v="47"/>
    <n v="58"/>
    <n v="54"/>
  </r>
  <r>
    <x v="0"/>
    <x v="0"/>
    <x v="0"/>
    <n v="8"/>
    <x v="1"/>
    <x v="1"/>
    <n v="53"/>
    <n v="77"/>
    <n v="75"/>
  </r>
  <r>
    <x v="0"/>
    <x v="0"/>
    <x v="1"/>
    <n v="1"/>
    <x v="0"/>
    <x v="0"/>
    <n v="61"/>
    <n v="73"/>
    <n v="70"/>
  </r>
  <r>
    <x v="0"/>
    <x v="0"/>
    <x v="1"/>
    <n v="2"/>
    <x v="0"/>
    <x v="0"/>
    <n v="64"/>
    <n v="72"/>
    <n v="66"/>
  </r>
  <r>
    <x v="0"/>
    <x v="0"/>
    <x v="1"/>
    <n v="3"/>
    <x v="0"/>
    <x v="0"/>
    <n v="79"/>
    <n v="97"/>
    <n v="85"/>
  </r>
  <r>
    <x v="0"/>
    <x v="0"/>
    <x v="1"/>
    <n v="4"/>
    <x v="0"/>
    <x v="0"/>
    <n v="61"/>
    <n v="69"/>
    <n v="69"/>
  </r>
  <r>
    <x v="0"/>
    <x v="0"/>
    <x v="1"/>
    <n v="5"/>
    <x v="0"/>
    <x v="0"/>
    <n v="79"/>
    <n v="86"/>
    <n v="84"/>
  </r>
  <r>
    <x v="0"/>
    <x v="0"/>
    <x v="1"/>
    <n v="6"/>
    <x v="0"/>
    <x v="0"/>
    <n v="61"/>
    <n v="69"/>
    <n v="66"/>
  </r>
  <r>
    <x v="0"/>
    <x v="0"/>
    <x v="1"/>
    <n v="7"/>
    <x v="0"/>
    <x v="0"/>
    <n v="52"/>
    <n v="68"/>
    <n v="66"/>
  </r>
  <r>
    <x v="0"/>
    <x v="0"/>
    <x v="1"/>
    <n v="8"/>
    <x v="0"/>
    <x v="0"/>
    <n v="61"/>
    <n v="73"/>
    <n v="74"/>
  </r>
  <r>
    <x v="0"/>
    <x v="0"/>
    <x v="1"/>
    <n v="9"/>
    <x v="0"/>
    <x v="1"/>
    <n v="56"/>
    <n v="68"/>
    <n v="70"/>
  </r>
  <r>
    <x v="0"/>
    <x v="0"/>
    <x v="1"/>
    <n v="10"/>
    <x v="0"/>
    <x v="1"/>
    <n v="68"/>
    <n v="75"/>
    <n v="73"/>
  </r>
  <r>
    <x v="0"/>
    <x v="0"/>
    <x v="1"/>
    <n v="11"/>
    <x v="0"/>
    <x v="1"/>
    <n v="82"/>
    <n v="95"/>
    <n v="93"/>
  </r>
  <r>
    <x v="0"/>
    <x v="0"/>
    <x v="1"/>
    <n v="12"/>
    <x v="0"/>
    <x v="1"/>
    <n v="67"/>
    <n v="86"/>
    <n v="86"/>
  </r>
  <r>
    <x v="0"/>
    <x v="0"/>
    <x v="1"/>
    <n v="13"/>
    <x v="1"/>
    <x v="0"/>
    <n v="34"/>
    <n v="49"/>
    <n v="47"/>
  </r>
  <r>
    <x v="0"/>
    <x v="0"/>
    <x v="2"/>
    <n v="1"/>
    <x v="0"/>
    <x v="0"/>
    <n v="53"/>
    <n v="57"/>
    <n v="60"/>
  </r>
  <r>
    <x v="0"/>
    <x v="0"/>
    <x v="2"/>
    <n v="2"/>
    <x v="0"/>
    <x v="0"/>
    <n v="72"/>
    <n v="85"/>
    <n v="81"/>
  </r>
  <r>
    <x v="0"/>
    <x v="0"/>
    <x v="2"/>
    <n v="3"/>
    <x v="0"/>
    <x v="0"/>
    <n v="51"/>
    <n v="69"/>
    <n v="65"/>
  </r>
  <r>
    <x v="0"/>
    <x v="0"/>
    <x v="2"/>
    <n v="4"/>
    <x v="0"/>
    <x v="0"/>
    <n v="73"/>
    <n v="76"/>
    <n v="74"/>
  </r>
  <r>
    <x v="0"/>
    <x v="0"/>
    <x v="2"/>
    <n v="5"/>
    <x v="0"/>
    <x v="0"/>
    <n v="61"/>
    <n v="65"/>
    <n v="59"/>
  </r>
  <r>
    <x v="0"/>
    <x v="0"/>
    <x v="2"/>
    <n v="6"/>
    <x v="0"/>
    <x v="0"/>
    <n v="72"/>
    <n v="77"/>
    <n v="77"/>
  </r>
  <r>
    <x v="0"/>
    <x v="0"/>
    <x v="2"/>
    <n v="7"/>
    <x v="0"/>
    <x v="1"/>
    <n v="73"/>
    <n v="68"/>
    <n v="81"/>
  </r>
  <r>
    <x v="0"/>
    <x v="0"/>
    <x v="2"/>
    <n v="8"/>
    <x v="1"/>
    <x v="0"/>
    <n v="58"/>
    <n v="75"/>
    <n v="78"/>
  </r>
  <r>
    <x v="0"/>
    <x v="0"/>
    <x v="2"/>
    <n v="9"/>
    <x v="1"/>
    <x v="0"/>
    <n v="41"/>
    <n v="49"/>
    <n v="51"/>
  </r>
  <r>
    <x v="0"/>
    <x v="0"/>
    <x v="3"/>
    <n v="1"/>
    <x v="0"/>
    <x v="0"/>
    <n v="51"/>
    <n v="46"/>
    <n v="42"/>
  </r>
  <r>
    <x v="0"/>
    <x v="0"/>
    <x v="3"/>
    <n v="2"/>
    <x v="0"/>
    <x v="0"/>
    <n v="62"/>
    <n v="64"/>
    <n v="63"/>
  </r>
  <r>
    <x v="0"/>
    <x v="0"/>
    <x v="3"/>
    <n v="3"/>
    <x v="0"/>
    <x v="0"/>
    <n v="83"/>
    <n v="91"/>
    <n v="92"/>
  </r>
  <r>
    <x v="0"/>
    <x v="0"/>
    <x v="3"/>
    <n v="4"/>
    <x v="1"/>
    <x v="0"/>
    <n v="54"/>
    <n v="56"/>
    <n v="58"/>
  </r>
  <r>
    <x v="0"/>
    <x v="0"/>
    <x v="3"/>
    <n v="5"/>
    <x v="1"/>
    <x v="1"/>
    <n v="75"/>
    <n v="97"/>
    <n v="92"/>
  </r>
  <r>
    <x v="0"/>
    <x v="0"/>
    <x v="4"/>
    <n v="1"/>
    <x v="0"/>
    <x v="1"/>
    <n v="73"/>
    <n v="79"/>
    <n v="81"/>
  </r>
  <r>
    <x v="0"/>
    <x v="0"/>
    <x v="4"/>
    <n v="2"/>
    <x v="0"/>
    <x v="1"/>
    <n v="66"/>
    <n v="80"/>
    <n v="75"/>
  </r>
  <r>
    <x v="0"/>
    <x v="0"/>
    <x v="4"/>
    <n v="3"/>
    <x v="1"/>
    <x v="0"/>
    <n v="62"/>
    <n v="75"/>
    <n v="73"/>
  </r>
  <r>
    <x v="0"/>
    <x v="0"/>
    <x v="4"/>
    <n v="4"/>
    <x v="1"/>
    <x v="0"/>
    <n v="65"/>
    <n v="64"/>
    <n v="73"/>
  </r>
  <r>
    <x v="0"/>
    <x v="0"/>
    <x v="5"/>
    <n v="1"/>
    <x v="0"/>
    <x v="0"/>
    <n v="68"/>
    <n v="70"/>
    <n v="72"/>
  </r>
  <r>
    <x v="0"/>
    <x v="0"/>
    <x v="5"/>
    <n v="2"/>
    <x v="0"/>
    <x v="1"/>
    <n v="68"/>
    <n v="76"/>
    <n v="76"/>
  </r>
  <r>
    <x v="0"/>
    <x v="1"/>
    <x v="0"/>
    <n v="9"/>
    <x v="0"/>
    <x v="0"/>
    <n v="46"/>
    <n v="61"/>
    <n v="58"/>
  </r>
  <r>
    <x v="0"/>
    <x v="1"/>
    <x v="0"/>
    <n v="10"/>
    <x v="0"/>
    <x v="0"/>
    <n v="62"/>
    <n v="78"/>
    <n v="74"/>
  </r>
  <r>
    <x v="0"/>
    <x v="1"/>
    <x v="0"/>
    <n v="11"/>
    <x v="0"/>
    <x v="0"/>
    <n v="60"/>
    <n v="73"/>
    <n v="68"/>
  </r>
  <r>
    <x v="0"/>
    <x v="1"/>
    <x v="0"/>
    <n v="12"/>
    <x v="0"/>
    <x v="0"/>
    <n v="44"/>
    <n v="56"/>
    <n v="47"/>
  </r>
  <r>
    <x v="0"/>
    <x v="1"/>
    <x v="0"/>
    <n v="13"/>
    <x v="0"/>
    <x v="0"/>
    <n v="48"/>
    <n v="59"/>
    <n v="55"/>
  </r>
  <r>
    <x v="0"/>
    <x v="1"/>
    <x v="0"/>
    <n v="14"/>
    <x v="0"/>
    <x v="0"/>
    <n v="37"/>
    <n v="51"/>
    <n v="43"/>
  </r>
  <r>
    <x v="0"/>
    <x v="1"/>
    <x v="0"/>
    <n v="15"/>
    <x v="0"/>
    <x v="0"/>
    <n v="67"/>
    <n v="73"/>
    <n v="76"/>
  </r>
  <r>
    <x v="0"/>
    <x v="1"/>
    <x v="0"/>
    <n v="16"/>
    <x v="0"/>
    <x v="0"/>
    <n v="83"/>
    <n v="86"/>
    <n v="89"/>
  </r>
  <r>
    <x v="0"/>
    <x v="1"/>
    <x v="0"/>
    <n v="17"/>
    <x v="0"/>
    <x v="0"/>
    <n v="52"/>
    <n v="65"/>
    <n v="60"/>
  </r>
  <r>
    <x v="0"/>
    <x v="1"/>
    <x v="0"/>
    <n v="18"/>
    <x v="0"/>
    <x v="0"/>
    <n v="44"/>
    <n v="65"/>
    <n v="59"/>
  </r>
  <r>
    <x v="0"/>
    <x v="1"/>
    <x v="0"/>
    <n v="19"/>
    <x v="0"/>
    <x v="1"/>
    <n v="69"/>
    <n v="76"/>
    <n v="72"/>
  </r>
  <r>
    <x v="0"/>
    <x v="1"/>
    <x v="0"/>
    <n v="20"/>
    <x v="1"/>
    <x v="0"/>
    <n v="65"/>
    <n v="83"/>
    <n v="77"/>
  </r>
  <r>
    <x v="0"/>
    <x v="1"/>
    <x v="0"/>
    <n v="21"/>
    <x v="1"/>
    <x v="0"/>
    <n v="61"/>
    <n v="80"/>
    <n v="82"/>
  </r>
  <r>
    <x v="0"/>
    <x v="1"/>
    <x v="0"/>
    <n v="22"/>
    <x v="1"/>
    <x v="0"/>
    <n v="36"/>
    <n v="51"/>
    <n v="49"/>
  </r>
  <r>
    <x v="0"/>
    <x v="1"/>
    <x v="0"/>
    <n v="23"/>
    <x v="1"/>
    <x v="0"/>
    <n v="55"/>
    <n v="70"/>
    <n v="60"/>
  </r>
  <r>
    <x v="0"/>
    <x v="1"/>
    <x v="0"/>
    <n v="24"/>
    <x v="1"/>
    <x v="0"/>
    <n v="36"/>
    <n v="52"/>
    <n v="51"/>
  </r>
  <r>
    <x v="0"/>
    <x v="1"/>
    <x v="0"/>
    <n v="25"/>
    <x v="1"/>
    <x v="1"/>
    <n v="73"/>
    <n v="91"/>
    <n v="88"/>
  </r>
  <r>
    <x v="0"/>
    <x v="1"/>
    <x v="0"/>
    <n v="26"/>
    <x v="1"/>
    <x v="1"/>
    <n v="46"/>
    <n v="63"/>
    <n v="66"/>
  </r>
  <r>
    <x v="0"/>
    <x v="1"/>
    <x v="0"/>
    <n v="27"/>
    <x v="1"/>
    <x v="1"/>
    <n v="64"/>
    <n v="72"/>
    <n v="79"/>
  </r>
  <r>
    <x v="0"/>
    <x v="1"/>
    <x v="0"/>
    <n v="28"/>
    <x v="1"/>
    <x v="1"/>
    <n v="37"/>
    <n v="48"/>
    <n v="46"/>
  </r>
  <r>
    <x v="0"/>
    <x v="1"/>
    <x v="1"/>
    <n v="14"/>
    <x v="0"/>
    <x v="0"/>
    <n v="52"/>
    <n v="56"/>
    <n v="54"/>
  </r>
  <r>
    <x v="0"/>
    <x v="1"/>
    <x v="1"/>
    <n v="15"/>
    <x v="0"/>
    <x v="0"/>
    <n v="55"/>
    <n v="60"/>
    <n v="67"/>
  </r>
  <r>
    <x v="0"/>
    <x v="1"/>
    <x v="1"/>
    <n v="16"/>
    <x v="0"/>
    <x v="0"/>
    <n v="59"/>
    <n v="72"/>
    <n v="67"/>
  </r>
  <r>
    <x v="0"/>
    <x v="1"/>
    <x v="1"/>
    <n v="17"/>
    <x v="0"/>
    <x v="0"/>
    <n v="63"/>
    <n v="76"/>
    <n v="67"/>
  </r>
  <r>
    <x v="0"/>
    <x v="1"/>
    <x v="1"/>
    <n v="18"/>
    <x v="0"/>
    <x v="0"/>
    <n v="54"/>
    <n v="56"/>
    <n v="59"/>
  </r>
  <r>
    <x v="0"/>
    <x v="1"/>
    <x v="1"/>
    <n v="19"/>
    <x v="0"/>
    <x v="0"/>
    <n v="65"/>
    <n v="68"/>
    <n v="67"/>
  </r>
  <r>
    <x v="0"/>
    <x v="1"/>
    <x v="1"/>
    <n v="20"/>
    <x v="0"/>
    <x v="0"/>
    <n v="45"/>
    <n v="52"/>
    <n v="51"/>
  </r>
  <r>
    <x v="0"/>
    <x v="1"/>
    <x v="1"/>
    <n v="21"/>
    <x v="0"/>
    <x v="0"/>
    <n v="74"/>
    <n v="90"/>
    <n v="83"/>
  </r>
  <r>
    <x v="0"/>
    <x v="1"/>
    <x v="1"/>
    <n v="22"/>
    <x v="0"/>
    <x v="1"/>
    <n v="66"/>
    <n v="62"/>
    <n v="66"/>
  </r>
  <r>
    <x v="0"/>
    <x v="1"/>
    <x v="1"/>
    <n v="23"/>
    <x v="0"/>
    <x v="1"/>
    <n v="81"/>
    <n v="89"/>
    <n v="88"/>
  </r>
  <r>
    <x v="0"/>
    <x v="1"/>
    <x v="1"/>
    <n v="24"/>
    <x v="0"/>
    <x v="1"/>
    <n v="72"/>
    <n v="73"/>
    <n v="72"/>
  </r>
  <r>
    <x v="0"/>
    <x v="1"/>
    <x v="1"/>
    <n v="25"/>
    <x v="0"/>
    <x v="1"/>
    <n v="77"/>
    <n v="83"/>
    <n v="91"/>
  </r>
  <r>
    <x v="0"/>
    <x v="1"/>
    <x v="1"/>
    <n v="26"/>
    <x v="1"/>
    <x v="0"/>
    <n v="61"/>
    <n v="74"/>
    <n v="71"/>
  </r>
  <r>
    <x v="0"/>
    <x v="1"/>
    <x v="1"/>
    <n v="27"/>
    <x v="1"/>
    <x v="0"/>
    <n v="38"/>
    <n v="55"/>
    <n v="52"/>
  </r>
  <r>
    <x v="0"/>
    <x v="1"/>
    <x v="1"/>
    <n v="28"/>
    <x v="1"/>
    <x v="0"/>
    <n v="67"/>
    <n v="77"/>
    <n v="81"/>
  </r>
  <r>
    <x v="0"/>
    <x v="1"/>
    <x v="1"/>
    <n v="29"/>
    <x v="1"/>
    <x v="0"/>
    <n v="46"/>
    <n v="57"/>
    <n v="53"/>
  </r>
  <r>
    <x v="0"/>
    <x v="1"/>
    <x v="1"/>
    <n v="30"/>
    <x v="1"/>
    <x v="0"/>
    <n v="55"/>
    <n v="68"/>
    <n v="66"/>
  </r>
  <r>
    <x v="0"/>
    <x v="1"/>
    <x v="1"/>
    <n v="31"/>
    <x v="1"/>
    <x v="0"/>
    <n v="58"/>
    <n v="62"/>
    <n v="54"/>
  </r>
  <r>
    <x v="0"/>
    <x v="1"/>
    <x v="1"/>
    <n v="32"/>
    <x v="1"/>
    <x v="0"/>
    <n v="49"/>
    <n v="65"/>
    <n v="62"/>
  </r>
  <r>
    <x v="0"/>
    <x v="1"/>
    <x v="1"/>
    <n v="33"/>
    <x v="1"/>
    <x v="0"/>
    <n v="39"/>
    <n v="60"/>
    <n v="52"/>
  </r>
  <r>
    <x v="0"/>
    <x v="1"/>
    <x v="1"/>
    <n v="34"/>
    <x v="1"/>
    <x v="0"/>
    <n v="59"/>
    <n v="74"/>
    <n v="68"/>
  </r>
  <r>
    <x v="0"/>
    <x v="1"/>
    <x v="1"/>
    <n v="35"/>
    <x v="1"/>
    <x v="0"/>
    <n v="30"/>
    <n v="47"/>
    <n v="46"/>
  </r>
  <r>
    <x v="0"/>
    <x v="1"/>
    <x v="1"/>
    <n v="36"/>
    <x v="1"/>
    <x v="0"/>
    <n v="51"/>
    <n v="69"/>
    <n v="64"/>
  </r>
  <r>
    <x v="0"/>
    <x v="1"/>
    <x v="1"/>
    <n v="37"/>
    <x v="1"/>
    <x v="1"/>
    <n v="69"/>
    <n v="78"/>
    <n v="75"/>
  </r>
  <r>
    <x v="0"/>
    <x v="1"/>
    <x v="1"/>
    <n v="38"/>
    <x v="1"/>
    <x v="1"/>
    <n v="75"/>
    <n v="90"/>
    <n v="95"/>
  </r>
  <r>
    <x v="0"/>
    <x v="1"/>
    <x v="1"/>
    <n v="39"/>
    <x v="1"/>
    <x v="1"/>
    <n v="45"/>
    <n v="61"/>
    <n v="63"/>
  </r>
  <r>
    <x v="0"/>
    <x v="1"/>
    <x v="1"/>
    <n v="40"/>
    <x v="1"/>
    <x v="1"/>
    <n v="60"/>
    <n v="66"/>
    <n v="64"/>
  </r>
  <r>
    <x v="0"/>
    <x v="1"/>
    <x v="1"/>
    <n v="41"/>
    <x v="1"/>
    <x v="1"/>
    <n v="49"/>
    <n v="66"/>
    <n v="60"/>
  </r>
  <r>
    <x v="0"/>
    <x v="1"/>
    <x v="2"/>
    <n v="10"/>
    <x v="0"/>
    <x v="0"/>
    <n v="73"/>
    <n v="80"/>
    <n v="78"/>
  </r>
  <r>
    <x v="0"/>
    <x v="1"/>
    <x v="2"/>
    <n v="11"/>
    <x v="0"/>
    <x v="0"/>
    <n v="81"/>
    <n v="89"/>
    <n v="86"/>
  </r>
  <r>
    <x v="0"/>
    <x v="1"/>
    <x v="2"/>
    <n v="12"/>
    <x v="0"/>
    <x v="0"/>
    <n v="62"/>
    <n v="81"/>
    <n v="77"/>
  </r>
  <r>
    <x v="0"/>
    <x v="1"/>
    <x v="2"/>
    <n v="13"/>
    <x v="0"/>
    <x v="0"/>
    <n v="75"/>
    <n v="95"/>
    <n v="94"/>
  </r>
  <r>
    <x v="0"/>
    <x v="1"/>
    <x v="2"/>
    <n v="14"/>
    <x v="0"/>
    <x v="0"/>
    <n v="71"/>
    <n v="87"/>
    <n v="87"/>
  </r>
  <r>
    <x v="0"/>
    <x v="1"/>
    <x v="2"/>
    <n v="15"/>
    <x v="0"/>
    <x v="0"/>
    <n v="75"/>
    <n v="91"/>
    <n v="81"/>
  </r>
  <r>
    <x v="0"/>
    <x v="1"/>
    <x v="2"/>
    <n v="16"/>
    <x v="0"/>
    <x v="0"/>
    <n v="90"/>
    <n v="94"/>
    <n v="93"/>
  </r>
  <r>
    <x v="0"/>
    <x v="1"/>
    <x v="2"/>
    <n v="17"/>
    <x v="0"/>
    <x v="0"/>
    <n v="68"/>
    <n v="70"/>
    <n v="76"/>
  </r>
  <r>
    <x v="0"/>
    <x v="1"/>
    <x v="2"/>
    <n v="18"/>
    <x v="0"/>
    <x v="0"/>
    <n v="84"/>
    <n v="90"/>
    <n v="89"/>
  </r>
  <r>
    <x v="0"/>
    <x v="1"/>
    <x v="2"/>
    <n v="19"/>
    <x v="0"/>
    <x v="0"/>
    <n v="82"/>
    <n v="97"/>
    <n v="90"/>
  </r>
  <r>
    <x v="0"/>
    <x v="1"/>
    <x v="2"/>
    <n v="20"/>
    <x v="0"/>
    <x v="1"/>
    <n v="80"/>
    <n v="81"/>
    <n v="85"/>
  </r>
  <r>
    <x v="0"/>
    <x v="1"/>
    <x v="2"/>
    <n v="21"/>
    <x v="0"/>
    <x v="1"/>
    <n v="63"/>
    <n v="72"/>
    <n v="78"/>
  </r>
  <r>
    <x v="0"/>
    <x v="1"/>
    <x v="2"/>
    <n v="22"/>
    <x v="0"/>
    <x v="1"/>
    <n v="91"/>
    <n v="99"/>
    <n v="100"/>
  </r>
  <r>
    <x v="0"/>
    <x v="1"/>
    <x v="2"/>
    <n v="23"/>
    <x v="0"/>
    <x v="1"/>
    <n v="65"/>
    <n v="78"/>
    <n v="81"/>
  </r>
  <r>
    <x v="0"/>
    <x v="1"/>
    <x v="2"/>
    <n v="24"/>
    <x v="0"/>
    <x v="1"/>
    <n v="60"/>
    <n v="65"/>
    <n v="67"/>
  </r>
  <r>
    <x v="0"/>
    <x v="1"/>
    <x v="2"/>
    <n v="25"/>
    <x v="0"/>
    <x v="1"/>
    <n v="81"/>
    <n v="92"/>
    <n v="97"/>
  </r>
  <r>
    <x v="0"/>
    <x v="1"/>
    <x v="2"/>
    <n v="26"/>
    <x v="0"/>
    <x v="1"/>
    <n v="64"/>
    <n v="66"/>
    <n v="72"/>
  </r>
  <r>
    <x v="0"/>
    <x v="1"/>
    <x v="2"/>
    <n v="27"/>
    <x v="0"/>
    <x v="1"/>
    <n v="83"/>
    <n v="96"/>
    <n v="96"/>
  </r>
  <r>
    <x v="0"/>
    <x v="1"/>
    <x v="2"/>
    <n v="28"/>
    <x v="1"/>
    <x v="0"/>
    <n v="35"/>
    <n v="34"/>
    <n v="36"/>
  </r>
  <r>
    <x v="0"/>
    <x v="1"/>
    <x v="2"/>
    <n v="29"/>
    <x v="1"/>
    <x v="0"/>
    <n v="67"/>
    <n v="73"/>
    <n v="74"/>
  </r>
  <r>
    <x v="0"/>
    <x v="1"/>
    <x v="2"/>
    <n v="30"/>
    <x v="1"/>
    <x v="0"/>
    <n v="61"/>
    <n v="68"/>
    <n v="67"/>
  </r>
  <r>
    <x v="0"/>
    <x v="1"/>
    <x v="2"/>
    <n v="31"/>
    <x v="1"/>
    <x v="0"/>
    <n v="67"/>
    <n v="76"/>
    <n v="76"/>
  </r>
  <r>
    <x v="0"/>
    <x v="1"/>
    <x v="2"/>
    <n v="32"/>
    <x v="1"/>
    <x v="0"/>
    <n v="61"/>
    <n v="64"/>
    <n v="63"/>
  </r>
  <r>
    <x v="0"/>
    <x v="1"/>
    <x v="2"/>
    <n v="33"/>
    <x v="1"/>
    <x v="0"/>
    <n v="59"/>
    <n v="72"/>
    <n v="72"/>
  </r>
  <r>
    <x v="0"/>
    <x v="1"/>
    <x v="2"/>
    <n v="34"/>
    <x v="1"/>
    <x v="1"/>
    <n v="58"/>
    <n v="67"/>
    <n v="70"/>
  </r>
  <r>
    <x v="0"/>
    <x v="1"/>
    <x v="3"/>
    <n v="6"/>
    <x v="0"/>
    <x v="0"/>
    <n v="70"/>
    <n v="71"/>
    <n v="71"/>
  </r>
  <r>
    <x v="0"/>
    <x v="1"/>
    <x v="3"/>
    <n v="7"/>
    <x v="0"/>
    <x v="0"/>
    <n v="83"/>
    <n v="88"/>
    <n v="90"/>
  </r>
  <r>
    <x v="0"/>
    <x v="1"/>
    <x v="3"/>
    <n v="8"/>
    <x v="0"/>
    <x v="0"/>
    <n v="84"/>
    <n v="100"/>
    <n v="96"/>
  </r>
  <r>
    <x v="0"/>
    <x v="1"/>
    <x v="3"/>
    <n v="9"/>
    <x v="0"/>
    <x v="0"/>
    <n v="56"/>
    <n v="61"/>
    <n v="65"/>
  </r>
  <r>
    <x v="0"/>
    <x v="1"/>
    <x v="3"/>
    <n v="10"/>
    <x v="0"/>
    <x v="0"/>
    <n v="83"/>
    <n v="89"/>
    <n v="88"/>
  </r>
  <r>
    <x v="0"/>
    <x v="1"/>
    <x v="3"/>
    <n v="11"/>
    <x v="0"/>
    <x v="0"/>
    <n v="50"/>
    <n v="48"/>
    <n v="52"/>
  </r>
  <r>
    <x v="0"/>
    <x v="1"/>
    <x v="3"/>
    <n v="12"/>
    <x v="0"/>
    <x v="0"/>
    <n v="58"/>
    <n v="64"/>
    <n v="56"/>
  </r>
  <r>
    <x v="0"/>
    <x v="1"/>
    <x v="3"/>
    <n v="13"/>
    <x v="0"/>
    <x v="0"/>
    <n v="61"/>
    <n v="69"/>
    <n v="73"/>
  </r>
  <r>
    <x v="0"/>
    <x v="1"/>
    <x v="3"/>
    <n v="14"/>
    <x v="0"/>
    <x v="0"/>
    <n v="65"/>
    <n v="76"/>
    <n v="70"/>
  </r>
  <r>
    <x v="0"/>
    <x v="1"/>
    <x v="3"/>
    <n v="15"/>
    <x v="0"/>
    <x v="0"/>
    <n v="58"/>
    <n v="69"/>
    <n v="63"/>
  </r>
  <r>
    <x v="0"/>
    <x v="1"/>
    <x v="3"/>
    <n v="16"/>
    <x v="0"/>
    <x v="1"/>
    <n v="69"/>
    <n v="72"/>
    <n v="72"/>
  </r>
  <r>
    <x v="0"/>
    <x v="1"/>
    <x v="3"/>
    <n v="17"/>
    <x v="0"/>
    <x v="1"/>
    <n v="61"/>
    <n v="75"/>
    <n v="82"/>
  </r>
  <r>
    <x v="0"/>
    <x v="1"/>
    <x v="3"/>
    <n v="18"/>
    <x v="0"/>
    <x v="1"/>
    <n v="45"/>
    <n v="63"/>
    <n v="67"/>
  </r>
  <r>
    <x v="0"/>
    <x v="1"/>
    <x v="3"/>
    <n v="19"/>
    <x v="0"/>
    <x v="1"/>
    <n v="47"/>
    <n v="58"/>
    <n v="56"/>
  </r>
  <r>
    <x v="0"/>
    <x v="1"/>
    <x v="3"/>
    <n v="20"/>
    <x v="0"/>
    <x v="1"/>
    <n v="77"/>
    <n v="90"/>
    <n v="93"/>
  </r>
  <r>
    <x v="0"/>
    <x v="1"/>
    <x v="3"/>
    <n v="21"/>
    <x v="0"/>
    <x v="1"/>
    <n v="92"/>
    <n v="100"/>
    <n v="100"/>
  </r>
  <r>
    <x v="0"/>
    <x v="1"/>
    <x v="3"/>
    <n v="22"/>
    <x v="1"/>
    <x v="0"/>
    <n v="37"/>
    <n v="51"/>
    <n v="51"/>
  </r>
  <r>
    <x v="0"/>
    <x v="1"/>
    <x v="3"/>
    <n v="23"/>
    <x v="1"/>
    <x v="1"/>
    <n v="27"/>
    <n v="49"/>
    <n v="50"/>
  </r>
  <r>
    <x v="0"/>
    <x v="1"/>
    <x v="3"/>
    <n v="24"/>
    <x v="1"/>
    <x v="1"/>
    <n v="69"/>
    <n v="85"/>
    <n v="84"/>
  </r>
  <r>
    <x v="0"/>
    <x v="1"/>
    <x v="3"/>
    <n v="25"/>
    <x v="1"/>
    <x v="1"/>
    <n v="55"/>
    <n v="67"/>
    <n v="68"/>
  </r>
  <r>
    <x v="0"/>
    <x v="1"/>
    <x v="3"/>
    <n v="26"/>
    <x v="1"/>
    <x v="1"/>
    <n v="47"/>
    <n v="61"/>
    <n v="64"/>
  </r>
  <r>
    <x v="0"/>
    <x v="1"/>
    <x v="3"/>
    <n v="27"/>
    <x v="1"/>
    <x v="1"/>
    <n v="58"/>
    <n v="62"/>
    <n v="64"/>
  </r>
  <r>
    <x v="0"/>
    <x v="1"/>
    <x v="4"/>
    <n v="5"/>
    <x v="0"/>
    <x v="0"/>
    <n v="65"/>
    <n v="79"/>
    <n v="73"/>
  </r>
  <r>
    <x v="0"/>
    <x v="1"/>
    <x v="4"/>
    <n v="6"/>
    <x v="0"/>
    <x v="0"/>
    <n v="84"/>
    <n v="91"/>
    <n v="93"/>
  </r>
  <r>
    <x v="0"/>
    <x v="1"/>
    <x v="4"/>
    <n v="7"/>
    <x v="0"/>
    <x v="0"/>
    <n v="81"/>
    <n v="84"/>
    <n v="86"/>
  </r>
  <r>
    <x v="0"/>
    <x v="1"/>
    <x v="4"/>
    <n v="8"/>
    <x v="0"/>
    <x v="0"/>
    <n v="88"/>
    <n v="84"/>
    <n v="88"/>
  </r>
  <r>
    <x v="0"/>
    <x v="1"/>
    <x v="4"/>
    <n v="9"/>
    <x v="0"/>
    <x v="0"/>
    <n v="73"/>
    <n v="87"/>
    <n v="89"/>
  </r>
  <r>
    <x v="0"/>
    <x v="1"/>
    <x v="4"/>
    <n v="10"/>
    <x v="0"/>
    <x v="1"/>
    <n v="66"/>
    <n v="73"/>
    <n v="72"/>
  </r>
  <r>
    <x v="0"/>
    <x v="1"/>
    <x v="4"/>
    <n v="11"/>
    <x v="0"/>
    <x v="1"/>
    <n v="82"/>
    <n v="85"/>
    <n v="99"/>
  </r>
  <r>
    <x v="0"/>
    <x v="1"/>
    <x v="4"/>
    <n v="12"/>
    <x v="0"/>
    <x v="1"/>
    <n v="64"/>
    <n v="77"/>
    <n v="79"/>
  </r>
  <r>
    <x v="0"/>
    <x v="1"/>
    <x v="4"/>
    <n v="13"/>
    <x v="0"/>
    <x v="1"/>
    <n v="55"/>
    <n v="64"/>
    <n v="63"/>
  </r>
  <r>
    <x v="0"/>
    <x v="1"/>
    <x v="4"/>
    <n v="14"/>
    <x v="0"/>
    <x v="1"/>
    <n v="85"/>
    <n v="96"/>
    <n v="95"/>
  </r>
  <r>
    <x v="0"/>
    <x v="1"/>
    <x v="4"/>
    <n v="15"/>
    <x v="0"/>
    <x v="1"/>
    <n v="80"/>
    <n v="93"/>
    <n v="99"/>
  </r>
  <r>
    <x v="0"/>
    <x v="1"/>
    <x v="4"/>
    <n v="16"/>
    <x v="1"/>
    <x v="0"/>
    <n v="50"/>
    <n v="62"/>
    <n v="62"/>
  </r>
  <r>
    <x v="0"/>
    <x v="1"/>
    <x v="4"/>
    <n v="17"/>
    <x v="1"/>
    <x v="1"/>
    <n v="49"/>
    <n v="57"/>
    <n v="61"/>
  </r>
  <r>
    <x v="0"/>
    <x v="1"/>
    <x v="5"/>
    <n v="3"/>
    <x v="0"/>
    <x v="0"/>
    <n v="53"/>
    <n v="61"/>
    <n v="59"/>
  </r>
  <r>
    <x v="0"/>
    <x v="1"/>
    <x v="5"/>
    <n v="4"/>
    <x v="0"/>
    <x v="0"/>
    <n v="71"/>
    <n v="68"/>
    <n v="68"/>
  </r>
  <r>
    <x v="0"/>
    <x v="1"/>
    <x v="5"/>
    <n v="5"/>
    <x v="0"/>
    <x v="0"/>
    <n v="62"/>
    <n v="67"/>
    <n v="70"/>
  </r>
  <r>
    <x v="0"/>
    <x v="1"/>
    <x v="5"/>
    <n v="6"/>
    <x v="0"/>
    <x v="1"/>
    <n v="59"/>
    <n v="75"/>
    <n v="79"/>
  </r>
  <r>
    <x v="0"/>
    <x v="2"/>
    <x v="0"/>
    <n v="29"/>
    <x v="0"/>
    <x v="0"/>
    <n v="23"/>
    <n v="33"/>
    <n v="33"/>
  </r>
  <r>
    <x v="0"/>
    <x v="2"/>
    <x v="0"/>
    <n v="30"/>
    <x v="0"/>
    <x v="0"/>
    <n v="70"/>
    <n v="75"/>
    <n v="76"/>
  </r>
  <r>
    <x v="0"/>
    <x v="2"/>
    <x v="0"/>
    <n v="31"/>
    <x v="0"/>
    <x v="0"/>
    <n v="62"/>
    <n v="64"/>
    <n v="64"/>
  </r>
  <r>
    <x v="0"/>
    <x v="2"/>
    <x v="0"/>
    <n v="32"/>
    <x v="0"/>
    <x v="0"/>
    <n v="75"/>
    <n v="86"/>
    <n v="84"/>
  </r>
  <r>
    <x v="0"/>
    <x v="2"/>
    <x v="0"/>
    <n v="33"/>
    <x v="0"/>
    <x v="0"/>
    <n v="68"/>
    <n v="77"/>
    <n v="75"/>
  </r>
  <r>
    <x v="0"/>
    <x v="2"/>
    <x v="0"/>
    <n v="34"/>
    <x v="0"/>
    <x v="0"/>
    <n v="70"/>
    <n v="75"/>
    <n v="78"/>
  </r>
  <r>
    <x v="0"/>
    <x v="2"/>
    <x v="0"/>
    <n v="35"/>
    <x v="0"/>
    <x v="0"/>
    <n v="67"/>
    <n v="72"/>
    <n v="71"/>
  </r>
  <r>
    <x v="0"/>
    <x v="2"/>
    <x v="0"/>
    <n v="36"/>
    <x v="0"/>
    <x v="0"/>
    <n v="88"/>
    <n v="90"/>
    <n v="90"/>
  </r>
  <r>
    <x v="0"/>
    <x v="2"/>
    <x v="0"/>
    <n v="37"/>
    <x v="0"/>
    <x v="0"/>
    <n v="53"/>
    <n v="48"/>
    <n v="49"/>
  </r>
  <r>
    <x v="0"/>
    <x v="2"/>
    <x v="0"/>
    <n v="38"/>
    <x v="0"/>
    <x v="0"/>
    <n v="60"/>
    <n v="61"/>
    <n v="57"/>
  </r>
  <r>
    <x v="0"/>
    <x v="2"/>
    <x v="0"/>
    <n v="39"/>
    <x v="0"/>
    <x v="0"/>
    <n v="86"/>
    <n v="92"/>
    <n v="83"/>
  </r>
  <r>
    <x v="0"/>
    <x v="2"/>
    <x v="0"/>
    <n v="40"/>
    <x v="0"/>
    <x v="0"/>
    <n v="74"/>
    <n v="77"/>
    <n v="72"/>
  </r>
  <r>
    <x v="0"/>
    <x v="2"/>
    <x v="0"/>
    <n v="41"/>
    <x v="0"/>
    <x v="0"/>
    <n v="70"/>
    <n v="77"/>
    <n v="76"/>
  </r>
  <r>
    <x v="0"/>
    <x v="2"/>
    <x v="0"/>
    <n v="42"/>
    <x v="0"/>
    <x v="1"/>
    <n v="69"/>
    <n v="84"/>
    <n v="81"/>
  </r>
  <r>
    <x v="0"/>
    <x v="2"/>
    <x v="0"/>
    <n v="43"/>
    <x v="1"/>
    <x v="0"/>
    <n v="34"/>
    <n v="44"/>
    <n v="43"/>
  </r>
  <r>
    <x v="0"/>
    <x v="2"/>
    <x v="0"/>
    <n v="44"/>
    <x v="1"/>
    <x v="0"/>
    <n v="38"/>
    <n v="45"/>
    <n v="44"/>
  </r>
  <r>
    <x v="0"/>
    <x v="2"/>
    <x v="0"/>
    <n v="45"/>
    <x v="1"/>
    <x v="1"/>
    <n v="60"/>
    <n v="67"/>
    <n v="74"/>
  </r>
  <r>
    <x v="0"/>
    <x v="2"/>
    <x v="0"/>
    <n v="46"/>
    <x v="1"/>
    <x v="1"/>
    <n v="52"/>
    <n v="59"/>
    <n v="58"/>
  </r>
  <r>
    <x v="0"/>
    <x v="2"/>
    <x v="0"/>
    <n v="47"/>
    <x v="1"/>
    <x v="1"/>
    <n v="62"/>
    <n v="74"/>
    <n v="71"/>
  </r>
  <r>
    <x v="0"/>
    <x v="2"/>
    <x v="0"/>
    <n v="48"/>
    <x v="1"/>
    <x v="1"/>
    <n v="58"/>
    <n v="80"/>
    <n v="76"/>
  </r>
  <r>
    <x v="0"/>
    <x v="2"/>
    <x v="1"/>
    <n v="42"/>
    <x v="0"/>
    <x v="0"/>
    <n v="87"/>
    <n v="92"/>
    <n v="81"/>
  </r>
  <r>
    <x v="0"/>
    <x v="2"/>
    <x v="1"/>
    <n v="43"/>
    <x v="0"/>
    <x v="0"/>
    <n v="66"/>
    <n v="77"/>
    <n v="80"/>
  </r>
  <r>
    <x v="0"/>
    <x v="2"/>
    <x v="1"/>
    <n v="44"/>
    <x v="0"/>
    <x v="0"/>
    <n v="77"/>
    <n v="81"/>
    <n v="85"/>
  </r>
  <r>
    <x v="0"/>
    <x v="2"/>
    <x v="1"/>
    <n v="45"/>
    <x v="0"/>
    <x v="0"/>
    <n v="55"/>
    <n v="62"/>
    <n v="61"/>
  </r>
  <r>
    <x v="0"/>
    <x v="2"/>
    <x v="1"/>
    <n v="46"/>
    <x v="0"/>
    <x v="0"/>
    <n v="70"/>
    <n v="63"/>
    <n v="63"/>
  </r>
  <r>
    <x v="0"/>
    <x v="2"/>
    <x v="1"/>
    <n v="47"/>
    <x v="0"/>
    <x v="0"/>
    <n v="72"/>
    <n v="76"/>
    <n v="74"/>
  </r>
  <r>
    <x v="0"/>
    <x v="2"/>
    <x v="1"/>
    <n v="48"/>
    <x v="0"/>
    <x v="0"/>
    <n v="69"/>
    <n v="81"/>
    <n v="70"/>
  </r>
  <r>
    <x v="0"/>
    <x v="2"/>
    <x v="1"/>
    <n v="49"/>
    <x v="0"/>
    <x v="0"/>
    <n v="63"/>
    <n v="64"/>
    <n v="59"/>
  </r>
  <r>
    <x v="0"/>
    <x v="2"/>
    <x v="1"/>
    <n v="50"/>
    <x v="0"/>
    <x v="0"/>
    <n v="21"/>
    <n v="30"/>
    <n v="26"/>
  </r>
  <r>
    <x v="0"/>
    <x v="2"/>
    <x v="1"/>
    <n v="51"/>
    <x v="0"/>
    <x v="0"/>
    <n v="54"/>
    <n v="73"/>
    <n v="64"/>
  </r>
  <r>
    <x v="0"/>
    <x v="2"/>
    <x v="1"/>
    <n v="52"/>
    <x v="0"/>
    <x v="0"/>
    <n v="50"/>
    <n v="62"/>
    <n v="63"/>
  </r>
  <r>
    <x v="0"/>
    <x v="2"/>
    <x v="1"/>
    <n v="53"/>
    <x v="0"/>
    <x v="0"/>
    <n v="56"/>
    <n v="68"/>
    <n v="66"/>
  </r>
  <r>
    <x v="0"/>
    <x v="2"/>
    <x v="1"/>
    <n v="54"/>
    <x v="0"/>
    <x v="0"/>
    <n v="80"/>
    <n v="84"/>
    <n v="81"/>
  </r>
  <r>
    <x v="0"/>
    <x v="2"/>
    <x v="1"/>
    <n v="55"/>
    <x v="0"/>
    <x v="0"/>
    <n v="61"/>
    <n v="57"/>
    <n v="55"/>
  </r>
  <r>
    <x v="0"/>
    <x v="2"/>
    <x v="1"/>
    <n v="56"/>
    <x v="0"/>
    <x v="0"/>
    <n v="31"/>
    <n v="49"/>
    <n v="42"/>
  </r>
  <r>
    <x v="0"/>
    <x v="2"/>
    <x v="1"/>
    <n v="57"/>
    <x v="0"/>
    <x v="0"/>
    <n v="87"/>
    <n v="90"/>
    <n v="85"/>
  </r>
  <r>
    <x v="0"/>
    <x v="2"/>
    <x v="1"/>
    <n v="58"/>
    <x v="0"/>
    <x v="0"/>
    <n v="59"/>
    <n v="63"/>
    <n v="61"/>
  </r>
  <r>
    <x v="0"/>
    <x v="2"/>
    <x v="1"/>
    <n v="59"/>
    <x v="0"/>
    <x v="0"/>
    <n v="71"/>
    <n v="72"/>
    <n v="69"/>
  </r>
  <r>
    <x v="0"/>
    <x v="2"/>
    <x v="1"/>
    <n v="60"/>
    <x v="0"/>
    <x v="0"/>
    <n v="59"/>
    <n v="66"/>
    <n v="69"/>
  </r>
  <r>
    <x v="0"/>
    <x v="2"/>
    <x v="1"/>
    <n v="61"/>
    <x v="0"/>
    <x v="1"/>
    <n v="63"/>
    <n v="73"/>
    <n v="74"/>
  </r>
  <r>
    <x v="0"/>
    <x v="2"/>
    <x v="1"/>
    <n v="62"/>
    <x v="0"/>
    <x v="1"/>
    <n v="49"/>
    <n v="68"/>
    <n v="67"/>
  </r>
  <r>
    <x v="0"/>
    <x v="2"/>
    <x v="1"/>
    <n v="63"/>
    <x v="0"/>
    <x v="1"/>
    <n v="80"/>
    <n v="83"/>
    <n v="86"/>
  </r>
  <r>
    <x v="0"/>
    <x v="2"/>
    <x v="1"/>
    <n v="64"/>
    <x v="0"/>
    <x v="1"/>
    <n v="55"/>
    <n v="72"/>
    <n v="70"/>
  </r>
  <r>
    <x v="0"/>
    <x v="2"/>
    <x v="1"/>
    <n v="65"/>
    <x v="0"/>
    <x v="1"/>
    <n v="44"/>
    <n v="69"/>
    <n v="68"/>
  </r>
  <r>
    <x v="0"/>
    <x v="2"/>
    <x v="1"/>
    <n v="66"/>
    <x v="1"/>
    <x v="0"/>
    <n v="56"/>
    <n v="62"/>
    <n v="57"/>
  </r>
  <r>
    <x v="0"/>
    <x v="2"/>
    <x v="1"/>
    <n v="67"/>
    <x v="1"/>
    <x v="0"/>
    <n v="76"/>
    <n v="90"/>
    <n v="84"/>
  </r>
  <r>
    <x v="0"/>
    <x v="2"/>
    <x v="1"/>
    <n v="68"/>
    <x v="1"/>
    <x v="0"/>
    <n v="51"/>
    <n v="68"/>
    <n v="66"/>
  </r>
  <r>
    <x v="0"/>
    <x v="2"/>
    <x v="1"/>
    <n v="69"/>
    <x v="1"/>
    <x v="0"/>
    <n v="39"/>
    <n v="50"/>
    <n v="41"/>
  </r>
  <r>
    <x v="0"/>
    <x v="2"/>
    <x v="1"/>
    <n v="70"/>
    <x v="1"/>
    <x v="0"/>
    <n v="24"/>
    <n v="48"/>
    <n v="46"/>
  </r>
  <r>
    <x v="0"/>
    <x v="2"/>
    <x v="1"/>
    <n v="71"/>
    <x v="1"/>
    <x v="0"/>
    <n v="48"/>
    <n v="60"/>
    <n v="55"/>
  </r>
  <r>
    <x v="0"/>
    <x v="2"/>
    <x v="1"/>
    <n v="72"/>
    <x v="1"/>
    <x v="1"/>
    <n v="66"/>
    <n v="81"/>
    <n v="75"/>
  </r>
  <r>
    <x v="0"/>
    <x v="2"/>
    <x v="1"/>
    <n v="73"/>
    <x v="1"/>
    <x v="1"/>
    <n v="34"/>
    <n v="66"/>
    <n v="59"/>
  </r>
  <r>
    <x v="0"/>
    <x v="2"/>
    <x v="1"/>
    <n v="74"/>
    <x v="1"/>
    <x v="1"/>
    <n v="54"/>
    <n v="68"/>
    <n v="69"/>
  </r>
  <r>
    <x v="0"/>
    <x v="2"/>
    <x v="1"/>
    <n v="75"/>
    <x v="1"/>
    <x v="1"/>
    <n v="54"/>
    <n v="72"/>
    <n v="68"/>
  </r>
  <r>
    <x v="0"/>
    <x v="2"/>
    <x v="2"/>
    <n v="35"/>
    <x v="0"/>
    <x v="0"/>
    <n v="55"/>
    <n v="68"/>
    <n v="73"/>
  </r>
  <r>
    <x v="0"/>
    <x v="2"/>
    <x v="2"/>
    <n v="36"/>
    <x v="0"/>
    <x v="0"/>
    <n v="69"/>
    <n v="75"/>
    <n v="75"/>
  </r>
  <r>
    <x v="0"/>
    <x v="2"/>
    <x v="2"/>
    <n v="37"/>
    <x v="0"/>
    <x v="0"/>
    <n v="44"/>
    <n v="49"/>
    <n v="53"/>
  </r>
  <r>
    <x v="0"/>
    <x v="2"/>
    <x v="2"/>
    <n v="38"/>
    <x v="0"/>
    <x v="0"/>
    <n v="78"/>
    <n v="78"/>
    <n v="82"/>
  </r>
  <r>
    <x v="0"/>
    <x v="2"/>
    <x v="2"/>
    <n v="39"/>
    <x v="0"/>
    <x v="0"/>
    <n v="72"/>
    <n v="77"/>
    <n v="75"/>
  </r>
  <r>
    <x v="0"/>
    <x v="2"/>
    <x v="2"/>
    <n v="40"/>
    <x v="0"/>
    <x v="0"/>
    <n v="56"/>
    <n v="71"/>
    <n v="70"/>
  </r>
  <r>
    <x v="0"/>
    <x v="2"/>
    <x v="2"/>
    <n v="41"/>
    <x v="0"/>
    <x v="0"/>
    <n v="57"/>
    <n v="67"/>
    <n v="64"/>
  </r>
  <r>
    <x v="0"/>
    <x v="2"/>
    <x v="2"/>
    <n v="42"/>
    <x v="0"/>
    <x v="0"/>
    <n v="82"/>
    <n v="91"/>
    <n v="85"/>
  </r>
  <r>
    <x v="0"/>
    <x v="2"/>
    <x v="2"/>
    <n v="43"/>
    <x v="0"/>
    <x v="0"/>
    <n v="60"/>
    <n v="75"/>
    <n v="72"/>
  </r>
  <r>
    <x v="0"/>
    <x v="2"/>
    <x v="2"/>
    <n v="44"/>
    <x v="0"/>
    <x v="0"/>
    <n v="69"/>
    <n v="82"/>
    <n v="78"/>
  </r>
  <r>
    <x v="0"/>
    <x v="2"/>
    <x v="2"/>
    <n v="45"/>
    <x v="0"/>
    <x v="0"/>
    <n v="72"/>
    <n v="69"/>
    <n v="70"/>
  </r>
  <r>
    <x v="0"/>
    <x v="2"/>
    <x v="2"/>
    <n v="46"/>
    <x v="0"/>
    <x v="0"/>
    <n v="81"/>
    <n v="96"/>
    <n v="93"/>
  </r>
  <r>
    <x v="0"/>
    <x v="2"/>
    <x v="2"/>
    <n v="47"/>
    <x v="0"/>
    <x v="0"/>
    <n v="65"/>
    <n v="85"/>
    <n v="80"/>
  </r>
  <r>
    <x v="0"/>
    <x v="2"/>
    <x v="2"/>
    <n v="48"/>
    <x v="0"/>
    <x v="1"/>
    <n v="91"/>
    <n v="96"/>
    <n v="97"/>
  </r>
  <r>
    <x v="0"/>
    <x v="2"/>
    <x v="2"/>
    <n v="49"/>
    <x v="0"/>
    <x v="1"/>
    <n v="71"/>
    <n v="84"/>
    <n v="88"/>
  </r>
  <r>
    <x v="0"/>
    <x v="2"/>
    <x v="2"/>
    <n v="50"/>
    <x v="0"/>
    <x v="1"/>
    <n v="77"/>
    <n v="90"/>
    <n v="97"/>
  </r>
  <r>
    <x v="0"/>
    <x v="2"/>
    <x v="2"/>
    <n v="51"/>
    <x v="0"/>
    <x v="1"/>
    <n v="75"/>
    <n v="74"/>
    <n v="80"/>
  </r>
  <r>
    <x v="0"/>
    <x v="2"/>
    <x v="2"/>
    <n v="52"/>
    <x v="0"/>
    <x v="1"/>
    <n v="89"/>
    <n v="86"/>
    <n v="92"/>
  </r>
  <r>
    <x v="0"/>
    <x v="2"/>
    <x v="2"/>
    <n v="53"/>
    <x v="1"/>
    <x v="0"/>
    <n v="52"/>
    <n v="65"/>
    <n v="60"/>
  </r>
  <r>
    <x v="0"/>
    <x v="2"/>
    <x v="2"/>
    <n v="54"/>
    <x v="1"/>
    <x v="0"/>
    <n v="44"/>
    <n v="55"/>
    <n v="61"/>
  </r>
  <r>
    <x v="0"/>
    <x v="2"/>
    <x v="2"/>
    <n v="55"/>
    <x v="1"/>
    <x v="0"/>
    <n v="66"/>
    <n v="73"/>
    <n v="69"/>
  </r>
  <r>
    <x v="0"/>
    <x v="2"/>
    <x v="2"/>
    <n v="56"/>
    <x v="1"/>
    <x v="0"/>
    <n v="28"/>
    <n v="32"/>
    <n v="28"/>
  </r>
  <r>
    <x v="0"/>
    <x v="2"/>
    <x v="2"/>
    <n v="57"/>
    <x v="1"/>
    <x v="0"/>
    <n v="35"/>
    <n v="40"/>
    <n v="45"/>
  </r>
  <r>
    <x v="0"/>
    <x v="2"/>
    <x v="2"/>
    <n v="58"/>
    <x v="1"/>
    <x v="0"/>
    <n v="65"/>
    <n v="66"/>
    <n v="66"/>
  </r>
  <r>
    <x v="0"/>
    <x v="2"/>
    <x v="2"/>
    <n v="59"/>
    <x v="1"/>
    <x v="1"/>
    <n v="68"/>
    <n v="84"/>
    <n v="87"/>
  </r>
  <r>
    <x v="0"/>
    <x v="2"/>
    <x v="2"/>
    <n v="60"/>
    <x v="1"/>
    <x v="1"/>
    <n v="89"/>
    <n v="98"/>
    <n v="99"/>
  </r>
  <r>
    <x v="0"/>
    <x v="2"/>
    <x v="2"/>
    <n v="61"/>
    <x v="1"/>
    <x v="1"/>
    <n v="52"/>
    <n v="64"/>
    <n v="66"/>
  </r>
  <r>
    <x v="0"/>
    <x v="2"/>
    <x v="2"/>
    <n v="62"/>
    <x v="1"/>
    <x v="1"/>
    <n v="79"/>
    <n v="89"/>
    <n v="96"/>
  </r>
  <r>
    <x v="0"/>
    <x v="2"/>
    <x v="2"/>
    <n v="63"/>
    <x v="1"/>
    <x v="1"/>
    <n v="69"/>
    <n v="76"/>
    <n v="82"/>
  </r>
  <r>
    <x v="0"/>
    <x v="2"/>
    <x v="2"/>
    <n v="64"/>
    <x v="1"/>
    <x v="1"/>
    <n v="79"/>
    <n v="92"/>
    <n v="97"/>
  </r>
  <r>
    <x v="0"/>
    <x v="2"/>
    <x v="2"/>
    <n v="65"/>
    <x v="1"/>
    <x v="1"/>
    <n v="42"/>
    <n v="50"/>
    <n v="61"/>
  </r>
  <r>
    <x v="0"/>
    <x v="2"/>
    <x v="3"/>
    <n v="28"/>
    <x v="0"/>
    <x v="0"/>
    <n v="62"/>
    <n v="64"/>
    <n v="61"/>
  </r>
  <r>
    <x v="0"/>
    <x v="2"/>
    <x v="3"/>
    <n v="29"/>
    <x v="0"/>
    <x v="0"/>
    <n v="71"/>
    <n v="88"/>
    <n v="83"/>
  </r>
  <r>
    <x v="0"/>
    <x v="2"/>
    <x v="3"/>
    <n v="30"/>
    <x v="0"/>
    <x v="0"/>
    <n v="56"/>
    <n v="58"/>
    <n v="55"/>
  </r>
  <r>
    <x v="0"/>
    <x v="2"/>
    <x v="3"/>
    <n v="31"/>
    <x v="0"/>
    <x v="0"/>
    <n v="71"/>
    <n v="69"/>
    <n v="73"/>
  </r>
  <r>
    <x v="0"/>
    <x v="2"/>
    <x v="3"/>
    <n v="32"/>
    <x v="0"/>
    <x v="0"/>
    <n v="82"/>
    <n v="84"/>
    <n v="83"/>
  </r>
  <r>
    <x v="0"/>
    <x v="2"/>
    <x v="3"/>
    <n v="33"/>
    <x v="0"/>
    <x v="0"/>
    <n v="84"/>
    <n v="88"/>
    <n v="84"/>
  </r>
  <r>
    <x v="0"/>
    <x v="2"/>
    <x v="3"/>
    <n v="34"/>
    <x v="0"/>
    <x v="0"/>
    <n v="61"/>
    <n v="64"/>
    <n v="54"/>
  </r>
  <r>
    <x v="0"/>
    <x v="2"/>
    <x v="3"/>
    <n v="35"/>
    <x v="0"/>
    <x v="0"/>
    <n v="51"/>
    <n v="57"/>
    <n v="60"/>
  </r>
  <r>
    <x v="0"/>
    <x v="2"/>
    <x v="3"/>
    <n v="36"/>
    <x v="0"/>
    <x v="0"/>
    <n v="66"/>
    <n v="78"/>
    <n v="75"/>
  </r>
  <r>
    <x v="0"/>
    <x v="2"/>
    <x v="3"/>
    <n v="37"/>
    <x v="0"/>
    <x v="0"/>
    <n v="81"/>
    <n v="93"/>
    <n v="94"/>
  </r>
  <r>
    <x v="0"/>
    <x v="2"/>
    <x v="3"/>
    <n v="38"/>
    <x v="0"/>
    <x v="0"/>
    <n v="53"/>
    <n v="59"/>
    <n v="59"/>
  </r>
  <r>
    <x v="0"/>
    <x v="2"/>
    <x v="3"/>
    <n v="39"/>
    <x v="0"/>
    <x v="0"/>
    <n v="85"/>
    <n v="92"/>
    <n v="84"/>
  </r>
  <r>
    <x v="0"/>
    <x v="2"/>
    <x v="3"/>
    <n v="40"/>
    <x v="0"/>
    <x v="0"/>
    <n v="45"/>
    <n v="46"/>
    <n v="47"/>
  </r>
  <r>
    <x v="0"/>
    <x v="2"/>
    <x v="3"/>
    <n v="41"/>
    <x v="0"/>
    <x v="0"/>
    <n v="46"/>
    <n v="52"/>
    <n v="48"/>
  </r>
  <r>
    <x v="0"/>
    <x v="2"/>
    <x v="3"/>
    <n v="42"/>
    <x v="0"/>
    <x v="0"/>
    <n v="77"/>
    <n v="85"/>
    <n v="85"/>
  </r>
  <r>
    <x v="0"/>
    <x v="2"/>
    <x v="3"/>
    <n v="43"/>
    <x v="0"/>
    <x v="0"/>
    <n v="59"/>
    <n v="72"/>
    <n v="70"/>
  </r>
  <r>
    <x v="0"/>
    <x v="2"/>
    <x v="3"/>
    <n v="44"/>
    <x v="0"/>
    <x v="0"/>
    <n v="77"/>
    <n v="79"/>
    <n v="78"/>
  </r>
  <r>
    <x v="0"/>
    <x v="2"/>
    <x v="3"/>
    <n v="45"/>
    <x v="0"/>
    <x v="0"/>
    <n v="51"/>
    <n v="72"/>
    <n v="63"/>
  </r>
  <r>
    <x v="0"/>
    <x v="2"/>
    <x v="3"/>
    <n v="46"/>
    <x v="0"/>
    <x v="0"/>
    <n v="79"/>
    <n v="93"/>
    <n v="81"/>
  </r>
  <r>
    <x v="0"/>
    <x v="2"/>
    <x v="3"/>
    <n v="47"/>
    <x v="0"/>
    <x v="1"/>
    <n v="73"/>
    <n v="86"/>
    <n v="89"/>
  </r>
  <r>
    <x v="0"/>
    <x v="2"/>
    <x v="3"/>
    <n v="48"/>
    <x v="0"/>
    <x v="1"/>
    <n v="84"/>
    <n v="88"/>
    <n v="87"/>
  </r>
  <r>
    <x v="0"/>
    <x v="2"/>
    <x v="3"/>
    <n v="49"/>
    <x v="0"/>
    <x v="1"/>
    <n v="81"/>
    <n v="90"/>
    <n v="93"/>
  </r>
  <r>
    <x v="0"/>
    <x v="2"/>
    <x v="3"/>
    <n v="50"/>
    <x v="0"/>
    <x v="1"/>
    <n v="67"/>
    <n v="74"/>
    <n v="81"/>
  </r>
  <r>
    <x v="0"/>
    <x v="2"/>
    <x v="3"/>
    <n v="51"/>
    <x v="0"/>
    <x v="1"/>
    <n v="59"/>
    <n v="66"/>
    <n v="71"/>
  </r>
  <r>
    <x v="0"/>
    <x v="2"/>
    <x v="3"/>
    <n v="52"/>
    <x v="0"/>
    <x v="1"/>
    <n v="80"/>
    <n v="88"/>
    <n v="90"/>
  </r>
  <r>
    <x v="0"/>
    <x v="2"/>
    <x v="3"/>
    <n v="53"/>
    <x v="1"/>
    <x v="0"/>
    <n v="35"/>
    <n v="47"/>
    <n v="41"/>
  </r>
  <r>
    <x v="0"/>
    <x v="2"/>
    <x v="3"/>
    <n v="54"/>
    <x v="1"/>
    <x v="0"/>
    <n v="43"/>
    <n v="58"/>
    <n v="60"/>
  </r>
  <r>
    <x v="0"/>
    <x v="2"/>
    <x v="3"/>
    <n v="55"/>
    <x v="1"/>
    <x v="0"/>
    <n v="43"/>
    <n v="65"/>
    <n v="60"/>
  </r>
  <r>
    <x v="0"/>
    <x v="2"/>
    <x v="3"/>
    <n v="56"/>
    <x v="1"/>
    <x v="0"/>
    <n v="68"/>
    <n v="64"/>
    <n v="64"/>
  </r>
  <r>
    <x v="0"/>
    <x v="2"/>
    <x v="3"/>
    <n v="57"/>
    <x v="1"/>
    <x v="0"/>
    <n v="70"/>
    <n v="81"/>
    <n v="76"/>
  </r>
  <r>
    <x v="0"/>
    <x v="2"/>
    <x v="3"/>
    <n v="58"/>
    <x v="1"/>
    <x v="0"/>
    <n v="62"/>
    <n v="74"/>
    <n v="74"/>
  </r>
  <r>
    <x v="0"/>
    <x v="2"/>
    <x v="3"/>
    <n v="59"/>
    <x v="1"/>
    <x v="1"/>
    <n v="41"/>
    <n v="59"/>
    <n v="56"/>
  </r>
  <r>
    <x v="0"/>
    <x v="2"/>
    <x v="3"/>
    <n v="60"/>
    <x v="1"/>
    <x v="1"/>
    <n v="60"/>
    <n v="80"/>
    <n v="76"/>
  </r>
  <r>
    <x v="0"/>
    <x v="2"/>
    <x v="3"/>
    <n v="61"/>
    <x v="1"/>
    <x v="1"/>
    <n v="44"/>
    <n v="44"/>
    <n v="53"/>
  </r>
  <r>
    <x v="0"/>
    <x v="2"/>
    <x v="3"/>
    <n v="62"/>
    <x v="1"/>
    <x v="1"/>
    <n v="62"/>
    <n v="78"/>
    <n v="71"/>
  </r>
  <r>
    <x v="0"/>
    <x v="2"/>
    <x v="3"/>
    <n v="63"/>
    <x v="1"/>
    <x v="1"/>
    <n v="67"/>
    <n v="89"/>
    <n v="89"/>
  </r>
  <r>
    <x v="0"/>
    <x v="2"/>
    <x v="3"/>
    <n v="64"/>
    <x v="1"/>
    <x v="1"/>
    <n v="64"/>
    <n v="81"/>
    <n v="87"/>
  </r>
  <r>
    <x v="0"/>
    <x v="2"/>
    <x v="4"/>
    <n v="18"/>
    <x v="0"/>
    <x v="0"/>
    <n v="79"/>
    <n v="86"/>
    <n v="78"/>
  </r>
  <r>
    <x v="0"/>
    <x v="2"/>
    <x v="4"/>
    <n v="19"/>
    <x v="0"/>
    <x v="0"/>
    <n v="63"/>
    <n v="74"/>
    <n v="75"/>
  </r>
  <r>
    <x v="0"/>
    <x v="2"/>
    <x v="4"/>
    <n v="20"/>
    <x v="0"/>
    <x v="0"/>
    <n v="64"/>
    <n v="82"/>
    <n v="80"/>
  </r>
  <r>
    <x v="0"/>
    <x v="2"/>
    <x v="4"/>
    <n v="21"/>
    <x v="0"/>
    <x v="0"/>
    <n v="67"/>
    <n v="72"/>
    <n v="72"/>
  </r>
  <r>
    <x v="0"/>
    <x v="2"/>
    <x v="4"/>
    <n v="22"/>
    <x v="0"/>
    <x v="0"/>
    <n v="58"/>
    <n v="70"/>
    <n v="72"/>
  </r>
  <r>
    <x v="0"/>
    <x v="2"/>
    <x v="4"/>
    <n v="23"/>
    <x v="0"/>
    <x v="0"/>
    <n v="61"/>
    <n v="66"/>
    <n v="71"/>
  </r>
  <r>
    <x v="0"/>
    <x v="2"/>
    <x v="4"/>
    <n v="24"/>
    <x v="0"/>
    <x v="1"/>
    <n v="57"/>
    <n v="69"/>
    <n v="77"/>
  </r>
  <r>
    <x v="0"/>
    <x v="2"/>
    <x v="4"/>
    <n v="25"/>
    <x v="0"/>
    <x v="1"/>
    <n v="74"/>
    <n v="79"/>
    <n v="84"/>
  </r>
  <r>
    <x v="0"/>
    <x v="2"/>
    <x v="4"/>
    <n v="26"/>
    <x v="0"/>
    <x v="1"/>
    <n v="92"/>
    <n v="88"/>
    <n v="94"/>
  </r>
  <r>
    <x v="0"/>
    <x v="2"/>
    <x v="4"/>
    <n v="27"/>
    <x v="1"/>
    <x v="0"/>
    <n v="69"/>
    <n v="78"/>
    <n v="78"/>
  </r>
  <r>
    <x v="0"/>
    <x v="2"/>
    <x v="4"/>
    <n v="28"/>
    <x v="1"/>
    <x v="0"/>
    <n v="55"/>
    <n v="56"/>
    <n v="54"/>
  </r>
  <r>
    <x v="0"/>
    <x v="2"/>
    <x v="4"/>
    <n v="29"/>
    <x v="1"/>
    <x v="1"/>
    <n v="62"/>
    <n v="68"/>
    <n v="74"/>
  </r>
  <r>
    <x v="0"/>
    <x v="2"/>
    <x v="4"/>
    <n v="30"/>
    <x v="1"/>
    <x v="1"/>
    <n v="54"/>
    <n v="57"/>
    <n v="63"/>
  </r>
  <r>
    <x v="0"/>
    <x v="2"/>
    <x v="4"/>
    <n v="31"/>
    <x v="1"/>
    <x v="1"/>
    <n v="68"/>
    <n v="78"/>
    <n v="83"/>
  </r>
  <r>
    <x v="0"/>
    <x v="2"/>
    <x v="4"/>
    <n v="32"/>
    <x v="1"/>
    <x v="1"/>
    <n v="44"/>
    <n v="45"/>
    <n v="52"/>
  </r>
  <r>
    <x v="0"/>
    <x v="2"/>
    <x v="5"/>
    <n v="7"/>
    <x v="0"/>
    <x v="0"/>
    <n v="67"/>
    <n v="78"/>
    <n v="80"/>
  </r>
  <r>
    <x v="0"/>
    <x v="2"/>
    <x v="5"/>
    <n v="8"/>
    <x v="0"/>
    <x v="0"/>
    <n v="75"/>
    <n v="82"/>
    <n v="81"/>
  </r>
  <r>
    <x v="0"/>
    <x v="2"/>
    <x v="5"/>
    <n v="9"/>
    <x v="0"/>
    <x v="0"/>
    <n v="70"/>
    <n v="81"/>
    <n v="75"/>
  </r>
  <r>
    <x v="0"/>
    <x v="2"/>
    <x v="5"/>
    <n v="10"/>
    <x v="0"/>
    <x v="0"/>
    <n v="59"/>
    <n v="64"/>
    <n v="64"/>
  </r>
  <r>
    <x v="0"/>
    <x v="2"/>
    <x v="5"/>
    <n v="11"/>
    <x v="0"/>
    <x v="0"/>
    <n v="69"/>
    <n v="76"/>
    <n v="71"/>
  </r>
  <r>
    <x v="0"/>
    <x v="2"/>
    <x v="5"/>
    <n v="12"/>
    <x v="0"/>
    <x v="1"/>
    <n v="50"/>
    <n v="64"/>
    <n v="63"/>
  </r>
  <r>
    <x v="0"/>
    <x v="2"/>
    <x v="5"/>
    <n v="13"/>
    <x v="0"/>
    <x v="1"/>
    <n v="66"/>
    <n v="70"/>
    <n v="83"/>
  </r>
  <r>
    <x v="0"/>
    <x v="2"/>
    <x v="5"/>
    <n v="14"/>
    <x v="0"/>
    <x v="1"/>
    <n v="65"/>
    <n v="84"/>
    <n v="86"/>
  </r>
  <r>
    <x v="0"/>
    <x v="2"/>
    <x v="5"/>
    <n v="15"/>
    <x v="0"/>
    <x v="1"/>
    <n v="62"/>
    <n v="68"/>
    <n v="75"/>
  </r>
  <r>
    <x v="0"/>
    <x v="2"/>
    <x v="5"/>
    <n v="16"/>
    <x v="0"/>
    <x v="1"/>
    <n v="79"/>
    <n v="87"/>
    <n v="89"/>
  </r>
  <r>
    <x v="0"/>
    <x v="2"/>
    <x v="5"/>
    <n v="17"/>
    <x v="0"/>
    <x v="1"/>
    <n v="83"/>
    <n v="86"/>
    <n v="90"/>
  </r>
  <r>
    <x v="0"/>
    <x v="2"/>
    <x v="5"/>
    <n v="18"/>
    <x v="0"/>
    <x v="1"/>
    <n v="79"/>
    <n v="92"/>
    <n v="87"/>
  </r>
  <r>
    <x v="0"/>
    <x v="2"/>
    <x v="5"/>
    <n v="19"/>
    <x v="1"/>
    <x v="0"/>
    <n v="43"/>
    <n v="57"/>
    <n v="59"/>
  </r>
  <r>
    <x v="0"/>
    <x v="2"/>
    <x v="5"/>
    <n v="20"/>
    <x v="1"/>
    <x v="1"/>
    <n v="71"/>
    <n v="92"/>
    <n v="93"/>
  </r>
  <r>
    <x v="0"/>
    <x v="3"/>
    <x v="0"/>
    <n v="49"/>
    <x v="0"/>
    <x v="0"/>
    <n v="74"/>
    <n v="75"/>
    <n v="74"/>
  </r>
  <r>
    <x v="0"/>
    <x v="3"/>
    <x v="0"/>
    <n v="50"/>
    <x v="0"/>
    <x v="0"/>
    <n v="74"/>
    <n v="79"/>
    <n v="79"/>
  </r>
  <r>
    <x v="0"/>
    <x v="3"/>
    <x v="0"/>
    <n v="51"/>
    <x v="0"/>
    <x v="0"/>
    <n v="82"/>
    <n v="77"/>
    <n v="80"/>
  </r>
  <r>
    <x v="0"/>
    <x v="3"/>
    <x v="0"/>
    <n v="52"/>
    <x v="0"/>
    <x v="0"/>
    <n v="52"/>
    <n v="66"/>
    <n v="63"/>
  </r>
  <r>
    <x v="0"/>
    <x v="3"/>
    <x v="0"/>
    <n v="53"/>
    <x v="0"/>
    <x v="0"/>
    <n v="25"/>
    <n v="33"/>
    <n v="32"/>
  </r>
  <r>
    <x v="0"/>
    <x v="3"/>
    <x v="0"/>
    <n v="54"/>
    <x v="0"/>
    <x v="0"/>
    <n v="83"/>
    <n v="92"/>
    <n v="93"/>
  </r>
  <r>
    <x v="0"/>
    <x v="3"/>
    <x v="0"/>
    <n v="55"/>
    <x v="0"/>
    <x v="0"/>
    <n v="62"/>
    <n v="68"/>
    <n v="65"/>
  </r>
  <r>
    <x v="0"/>
    <x v="3"/>
    <x v="0"/>
    <n v="56"/>
    <x v="0"/>
    <x v="0"/>
    <n v="53"/>
    <n v="55"/>
    <n v="57"/>
  </r>
  <r>
    <x v="0"/>
    <x v="3"/>
    <x v="0"/>
    <n v="57"/>
    <x v="0"/>
    <x v="1"/>
    <n v="48"/>
    <n v="68"/>
    <n v="68"/>
  </r>
  <r>
    <x v="0"/>
    <x v="3"/>
    <x v="0"/>
    <n v="58"/>
    <x v="0"/>
    <x v="1"/>
    <n v="83"/>
    <n v="95"/>
    <n v="97"/>
  </r>
  <r>
    <x v="0"/>
    <x v="3"/>
    <x v="0"/>
    <n v="59"/>
    <x v="0"/>
    <x v="1"/>
    <n v="94"/>
    <n v="91"/>
    <n v="98"/>
  </r>
  <r>
    <x v="0"/>
    <x v="3"/>
    <x v="0"/>
    <n v="60"/>
    <x v="0"/>
    <x v="1"/>
    <n v="54"/>
    <n v="77"/>
    <n v="78"/>
  </r>
  <r>
    <x v="0"/>
    <x v="3"/>
    <x v="0"/>
    <n v="61"/>
    <x v="0"/>
    <x v="1"/>
    <n v="69"/>
    <n v="86"/>
    <n v="87"/>
  </r>
  <r>
    <x v="0"/>
    <x v="3"/>
    <x v="0"/>
    <n v="62"/>
    <x v="0"/>
    <x v="1"/>
    <n v="77"/>
    <n v="83"/>
    <n v="84"/>
  </r>
  <r>
    <x v="0"/>
    <x v="3"/>
    <x v="0"/>
    <n v="63"/>
    <x v="1"/>
    <x v="0"/>
    <n v="60"/>
    <n v="69"/>
    <n v="70"/>
  </r>
  <r>
    <x v="0"/>
    <x v="3"/>
    <x v="0"/>
    <n v="64"/>
    <x v="1"/>
    <x v="0"/>
    <n v="58"/>
    <n v="63"/>
    <n v="65"/>
  </r>
  <r>
    <x v="0"/>
    <x v="3"/>
    <x v="0"/>
    <n v="65"/>
    <x v="1"/>
    <x v="0"/>
    <n v="30"/>
    <n v="59"/>
    <n v="51"/>
  </r>
  <r>
    <x v="0"/>
    <x v="3"/>
    <x v="0"/>
    <n v="66"/>
    <x v="1"/>
    <x v="1"/>
    <n v="41"/>
    <n v="58"/>
    <n v="59"/>
  </r>
  <r>
    <x v="0"/>
    <x v="3"/>
    <x v="0"/>
    <n v="67"/>
    <x v="1"/>
    <x v="1"/>
    <n v="64"/>
    <n v="84"/>
    <n v="83"/>
  </r>
  <r>
    <x v="0"/>
    <x v="3"/>
    <x v="0"/>
    <n v="68"/>
    <x v="1"/>
    <x v="1"/>
    <n v="49"/>
    <n v="69"/>
    <n v="68"/>
  </r>
  <r>
    <x v="0"/>
    <x v="3"/>
    <x v="0"/>
    <n v="69"/>
    <x v="1"/>
    <x v="1"/>
    <n v="64"/>
    <n v="75"/>
    <n v="81"/>
  </r>
  <r>
    <x v="0"/>
    <x v="3"/>
    <x v="0"/>
    <n v="70"/>
    <x v="1"/>
    <x v="1"/>
    <n v="62"/>
    <n v="75"/>
    <n v="79"/>
  </r>
  <r>
    <x v="0"/>
    <x v="3"/>
    <x v="1"/>
    <n v="76"/>
    <x v="0"/>
    <x v="0"/>
    <n v="59"/>
    <n v="69"/>
    <n v="64"/>
  </r>
  <r>
    <x v="0"/>
    <x v="3"/>
    <x v="1"/>
    <n v="77"/>
    <x v="0"/>
    <x v="0"/>
    <n v="58"/>
    <n v="66"/>
    <n v="70"/>
  </r>
  <r>
    <x v="0"/>
    <x v="3"/>
    <x v="1"/>
    <n v="78"/>
    <x v="0"/>
    <x v="0"/>
    <n v="77"/>
    <n v="90"/>
    <n v="82"/>
  </r>
  <r>
    <x v="0"/>
    <x v="3"/>
    <x v="1"/>
    <n v="79"/>
    <x v="0"/>
    <x v="0"/>
    <n v="44"/>
    <n v="47"/>
    <n v="55"/>
  </r>
  <r>
    <x v="0"/>
    <x v="3"/>
    <x v="1"/>
    <n v="80"/>
    <x v="0"/>
    <x v="0"/>
    <n v="53"/>
    <n v="66"/>
    <n v="64"/>
  </r>
  <r>
    <x v="0"/>
    <x v="3"/>
    <x v="1"/>
    <n v="81"/>
    <x v="0"/>
    <x v="0"/>
    <n v="54"/>
    <n v="62"/>
    <n v="62"/>
  </r>
  <r>
    <x v="0"/>
    <x v="3"/>
    <x v="1"/>
    <n v="82"/>
    <x v="0"/>
    <x v="0"/>
    <n v="74"/>
    <n v="82"/>
    <n v="81"/>
  </r>
  <r>
    <x v="0"/>
    <x v="3"/>
    <x v="1"/>
    <n v="83"/>
    <x v="0"/>
    <x v="1"/>
    <n v="92"/>
    <n v="95"/>
    <n v="93"/>
  </r>
  <r>
    <x v="0"/>
    <x v="3"/>
    <x v="1"/>
    <n v="84"/>
    <x v="0"/>
    <x v="1"/>
    <n v="91"/>
    <n v="100"/>
    <n v="100"/>
  </r>
  <r>
    <x v="0"/>
    <x v="3"/>
    <x v="1"/>
    <n v="85"/>
    <x v="0"/>
    <x v="1"/>
    <n v="63"/>
    <n v="78"/>
    <n v="74"/>
  </r>
  <r>
    <x v="0"/>
    <x v="3"/>
    <x v="1"/>
    <n v="86"/>
    <x v="0"/>
    <x v="1"/>
    <n v="50"/>
    <n v="72"/>
    <n v="70"/>
  </r>
  <r>
    <x v="0"/>
    <x v="3"/>
    <x v="1"/>
    <n v="87"/>
    <x v="0"/>
    <x v="1"/>
    <n v="85"/>
    <n v="98"/>
    <n v="99"/>
  </r>
  <r>
    <x v="0"/>
    <x v="3"/>
    <x v="1"/>
    <n v="88"/>
    <x v="0"/>
    <x v="1"/>
    <n v="75"/>
    <n v="74"/>
    <n v="75"/>
  </r>
  <r>
    <x v="0"/>
    <x v="3"/>
    <x v="1"/>
    <n v="89"/>
    <x v="1"/>
    <x v="0"/>
    <n v="47"/>
    <n v="66"/>
    <n v="66"/>
  </r>
  <r>
    <x v="0"/>
    <x v="3"/>
    <x v="1"/>
    <n v="90"/>
    <x v="1"/>
    <x v="0"/>
    <n v="42"/>
    <n v="61"/>
    <n v="63"/>
  </r>
  <r>
    <x v="0"/>
    <x v="3"/>
    <x v="1"/>
    <n v="91"/>
    <x v="1"/>
    <x v="0"/>
    <n v="54"/>
    <n v="58"/>
    <n v="63"/>
  </r>
  <r>
    <x v="0"/>
    <x v="3"/>
    <x v="1"/>
    <n v="92"/>
    <x v="1"/>
    <x v="0"/>
    <n v="75"/>
    <n v="81"/>
    <n v="87"/>
  </r>
  <r>
    <x v="0"/>
    <x v="3"/>
    <x v="1"/>
    <n v="93"/>
    <x v="1"/>
    <x v="0"/>
    <n v="15"/>
    <n v="39"/>
    <n v="40"/>
  </r>
  <r>
    <x v="0"/>
    <x v="3"/>
    <x v="1"/>
    <n v="94"/>
    <x v="1"/>
    <x v="0"/>
    <n v="68"/>
    <n v="73"/>
    <n v="71"/>
  </r>
  <r>
    <x v="0"/>
    <x v="3"/>
    <x v="1"/>
    <n v="95"/>
    <x v="1"/>
    <x v="1"/>
    <n v="72"/>
    <n v="76"/>
    <n v="78"/>
  </r>
  <r>
    <x v="0"/>
    <x v="3"/>
    <x v="1"/>
    <n v="96"/>
    <x v="1"/>
    <x v="1"/>
    <n v="67"/>
    <n v="75"/>
    <n v="84"/>
  </r>
  <r>
    <x v="0"/>
    <x v="3"/>
    <x v="1"/>
    <n v="97"/>
    <x v="1"/>
    <x v="1"/>
    <n v="78"/>
    <n v="86"/>
    <n v="88"/>
  </r>
  <r>
    <x v="0"/>
    <x v="3"/>
    <x v="1"/>
    <n v="98"/>
    <x v="1"/>
    <x v="1"/>
    <n v="39"/>
    <n v="52"/>
    <n v="58"/>
  </r>
  <r>
    <x v="0"/>
    <x v="3"/>
    <x v="2"/>
    <n v="66"/>
    <x v="0"/>
    <x v="0"/>
    <n v="83"/>
    <n v="85"/>
    <n v="86"/>
  </r>
  <r>
    <x v="0"/>
    <x v="3"/>
    <x v="2"/>
    <n v="67"/>
    <x v="0"/>
    <x v="0"/>
    <n v="61"/>
    <n v="56"/>
    <n v="60"/>
  </r>
  <r>
    <x v="0"/>
    <x v="3"/>
    <x v="2"/>
    <n v="68"/>
    <x v="0"/>
    <x v="0"/>
    <n v="70"/>
    <n v="79"/>
    <n v="76"/>
  </r>
  <r>
    <x v="0"/>
    <x v="3"/>
    <x v="2"/>
    <n v="69"/>
    <x v="0"/>
    <x v="0"/>
    <n v="42"/>
    <n v="48"/>
    <n v="42"/>
  </r>
  <r>
    <x v="0"/>
    <x v="3"/>
    <x v="2"/>
    <n v="70"/>
    <x v="0"/>
    <x v="0"/>
    <n v="40"/>
    <n v="51"/>
    <n v="51"/>
  </r>
  <r>
    <x v="0"/>
    <x v="3"/>
    <x v="2"/>
    <n v="71"/>
    <x v="0"/>
    <x v="0"/>
    <n v="84"/>
    <n v="90"/>
    <n v="90"/>
  </r>
  <r>
    <x v="0"/>
    <x v="3"/>
    <x v="2"/>
    <n v="72"/>
    <x v="0"/>
    <x v="0"/>
    <n v="61"/>
    <n v="70"/>
    <n v="73"/>
  </r>
  <r>
    <x v="0"/>
    <x v="3"/>
    <x v="2"/>
    <n v="73"/>
    <x v="0"/>
    <x v="0"/>
    <n v="75"/>
    <n v="87"/>
    <n v="90"/>
  </r>
  <r>
    <x v="0"/>
    <x v="3"/>
    <x v="2"/>
    <n v="74"/>
    <x v="0"/>
    <x v="0"/>
    <n v="66"/>
    <n v="72"/>
    <n v="74"/>
  </r>
  <r>
    <x v="0"/>
    <x v="3"/>
    <x v="2"/>
    <n v="75"/>
    <x v="0"/>
    <x v="0"/>
    <n v="67"/>
    <n v="67"/>
    <n v="67"/>
  </r>
  <r>
    <x v="0"/>
    <x v="3"/>
    <x v="2"/>
    <n v="76"/>
    <x v="0"/>
    <x v="0"/>
    <n v="63"/>
    <n v="69"/>
    <n v="66"/>
  </r>
  <r>
    <x v="0"/>
    <x v="3"/>
    <x v="2"/>
    <n v="77"/>
    <x v="0"/>
    <x v="0"/>
    <n v="84"/>
    <n v="92"/>
    <n v="90"/>
  </r>
  <r>
    <x v="0"/>
    <x v="3"/>
    <x v="2"/>
    <n v="78"/>
    <x v="0"/>
    <x v="1"/>
    <n v="65"/>
    <n v="71"/>
    <n v="74"/>
  </r>
  <r>
    <x v="0"/>
    <x v="3"/>
    <x v="2"/>
    <n v="79"/>
    <x v="0"/>
    <x v="1"/>
    <n v="67"/>
    <n v="71"/>
    <n v="76"/>
  </r>
  <r>
    <x v="0"/>
    <x v="3"/>
    <x v="2"/>
    <n v="80"/>
    <x v="0"/>
    <x v="1"/>
    <n v="82"/>
    <n v="85"/>
    <n v="94"/>
  </r>
  <r>
    <x v="0"/>
    <x v="3"/>
    <x v="2"/>
    <n v="81"/>
    <x v="0"/>
    <x v="1"/>
    <n v="73"/>
    <n v="87"/>
    <n v="83"/>
  </r>
  <r>
    <x v="0"/>
    <x v="3"/>
    <x v="2"/>
    <n v="82"/>
    <x v="0"/>
    <x v="1"/>
    <n v="82"/>
    <n v="95"/>
    <n v="100"/>
  </r>
  <r>
    <x v="0"/>
    <x v="3"/>
    <x v="2"/>
    <n v="83"/>
    <x v="1"/>
    <x v="0"/>
    <n v="68"/>
    <n v="76"/>
    <n v="79"/>
  </r>
  <r>
    <x v="0"/>
    <x v="3"/>
    <x v="2"/>
    <n v="84"/>
    <x v="1"/>
    <x v="0"/>
    <n v="62"/>
    <n v="65"/>
    <n v="69"/>
  </r>
  <r>
    <x v="0"/>
    <x v="3"/>
    <x v="2"/>
    <n v="85"/>
    <x v="1"/>
    <x v="0"/>
    <n v="45"/>
    <n v="61"/>
    <n v="57"/>
  </r>
  <r>
    <x v="0"/>
    <x v="3"/>
    <x v="2"/>
    <n v="86"/>
    <x v="1"/>
    <x v="0"/>
    <n v="39"/>
    <n v="65"/>
    <n v="64"/>
  </r>
  <r>
    <x v="0"/>
    <x v="3"/>
    <x v="2"/>
    <n v="87"/>
    <x v="1"/>
    <x v="0"/>
    <n v="71"/>
    <n v="78"/>
    <n v="81"/>
  </r>
  <r>
    <x v="0"/>
    <x v="3"/>
    <x v="2"/>
    <n v="88"/>
    <x v="1"/>
    <x v="1"/>
    <n v="64"/>
    <n v="67"/>
    <n v="75"/>
  </r>
  <r>
    <x v="0"/>
    <x v="3"/>
    <x v="2"/>
    <n v="89"/>
    <x v="1"/>
    <x v="1"/>
    <n v="73"/>
    <n v="72"/>
    <n v="79"/>
  </r>
  <r>
    <x v="0"/>
    <x v="3"/>
    <x v="2"/>
    <n v="90"/>
    <x v="1"/>
    <x v="1"/>
    <n v="47"/>
    <n v="58"/>
    <n v="56"/>
  </r>
  <r>
    <x v="0"/>
    <x v="3"/>
    <x v="3"/>
    <n v="65"/>
    <x v="0"/>
    <x v="0"/>
    <n v="73"/>
    <n v="89"/>
    <n v="89"/>
  </r>
  <r>
    <x v="0"/>
    <x v="3"/>
    <x v="3"/>
    <n v="66"/>
    <x v="0"/>
    <x v="0"/>
    <n v="75"/>
    <n v="75"/>
    <n v="78"/>
  </r>
  <r>
    <x v="0"/>
    <x v="3"/>
    <x v="3"/>
    <n v="67"/>
    <x v="0"/>
    <x v="0"/>
    <n v="62"/>
    <n v="62"/>
    <n v="68"/>
  </r>
  <r>
    <x v="0"/>
    <x v="3"/>
    <x v="3"/>
    <n v="68"/>
    <x v="0"/>
    <x v="0"/>
    <n v="74"/>
    <n v="79"/>
    <n v="73"/>
  </r>
  <r>
    <x v="0"/>
    <x v="3"/>
    <x v="3"/>
    <n v="69"/>
    <x v="0"/>
    <x v="0"/>
    <n v="71"/>
    <n v="74"/>
    <n v="80"/>
  </r>
  <r>
    <x v="0"/>
    <x v="3"/>
    <x v="3"/>
    <n v="70"/>
    <x v="0"/>
    <x v="0"/>
    <n v="71"/>
    <n v="71"/>
    <n v="76"/>
  </r>
  <r>
    <x v="0"/>
    <x v="3"/>
    <x v="3"/>
    <n v="71"/>
    <x v="0"/>
    <x v="0"/>
    <n v="56"/>
    <n v="53"/>
    <n v="58"/>
  </r>
  <r>
    <x v="0"/>
    <x v="3"/>
    <x v="3"/>
    <n v="72"/>
    <x v="0"/>
    <x v="0"/>
    <n v="58"/>
    <n v="62"/>
    <n v="63"/>
  </r>
  <r>
    <x v="0"/>
    <x v="3"/>
    <x v="3"/>
    <n v="73"/>
    <x v="0"/>
    <x v="0"/>
    <n v="84"/>
    <n v="97"/>
    <n v="96"/>
  </r>
  <r>
    <x v="0"/>
    <x v="3"/>
    <x v="3"/>
    <n v="74"/>
    <x v="0"/>
    <x v="0"/>
    <n v="68"/>
    <n v="76"/>
    <n v="79"/>
  </r>
  <r>
    <x v="0"/>
    <x v="3"/>
    <x v="3"/>
    <n v="75"/>
    <x v="0"/>
    <x v="0"/>
    <n v="74"/>
    <n v="81"/>
    <n v="82"/>
  </r>
  <r>
    <x v="0"/>
    <x v="3"/>
    <x v="3"/>
    <n v="76"/>
    <x v="0"/>
    <x v="0"/>
    <n v="66"/>
    <n v="70"/>
    <n v="67"/>
  </r>
  <r>
    <x v="0"/>
    <x v="3"/>
    <x v="3"/>
    <n v="77"/>
    <x v="0"/>
    <x v="1"/>
    <n v="59"/>
    <n v="70"/>
    <n v="78"/>
  </r>
  <r>
    <x v="0"/>
    <x v="3"/>
    <x v="3"/>
    <n v="78"/>
    <x v="0"/>
    <x v="1"/>
    <n v="68"/>
    <n v="84"/>
    <n v="87"/>
  </r>
  <r>
    <x v="0"/>
    <x v="3"/>
    <x v="3"/>
    <n v="79"/>
    <x v="0"/>
    <x v="1"/>
    <n v="61"/>
    <n v="63"/>
    <n v="70"/>
  </r>
  <r>
    <x v="0"/>
    <x v="3"/>
    <x v="3"/>
    <n v="80"/>
    <x v="0"/>
    <x v="1"/>
    <n v="81"/>
    <n v="93"/>
    <n v="94"/>
  </r>
  <r>
    <x v="0"/>
    <x v="3"/>
    <x v="3"/>
    <n v="81"/>
    <x v="0"/>
    <x v="1"/>
    <n v="81"/>
    <n v="99"/>
    <n v="96"/>
  </r>
  <r>
    <x v="0"/>
    <x v="3"/>
    <x v="3"/>
    <n v="82"/>
    <x v="1"/>
    <x v="0"/>
    <n v="57"/>
    <n v="76"/>
    <n v="77"/>
  </r>
  <r>
    <x v="0"/>
    <x v="3"/>
    <x v="3"/>
    <n v="83"/>
    <x v="1"/>
    <x v="0"/>
    <n v="71"/>
    <n v="83"/>
    <n v="80"/>
  </r>
  <r>
    <x v="0"/>
    <x v="3"/>
    <x v="3"/>
    <n v="84"/>
    <x v="1"/>
    <x v="0"/>
    <n v="50"/>
    <n v="66"/>
    <n v="66"/>
  </r>
  <r>
    <x v="0"/>
    <x v="3"/>
    <x v="3"/>
    <n v="85"/>
    <x v="1"/>
    <x v="0"/>
    <n v="43"/>
    <n v="48"/>
    <n v="53"/>
  </r>
  <r>
    <x v="0"/>
    <x v="3"/>
    <x v="3"/>
    <n v="86"/>
    <x v="1"/>
    <x v="0"/>
    <n v="41"/>
    <n v="58"/>
    <n v="60"/>
  </r>
  <r>
    <x v="0"/>
    <x v="3"/>
    <x v="3"/>
    <n v="87"/>
    <x v="1"/>
    <x v="0"/>
    <n v="36"/>
    <n v="45"/>
    <n v="44"/>
  </r>
  <r>
    <x v="0"/>
    <x v="3"/>
    <x v="3"/>
    <n v="88"/>
    <x v="1"/>
    <x v="1"/>
    <n v="64"/>
    <n v="82"/>
    <n v="80"/>
  </r>
  <r>
    <x v="0"/>
    <x v="3"/>
    <x v="3"/>
    <n v="89"/>
    <x v="1"/>
    <x v="1"/>
    <n v="64"/>
    <n v="66"/>
    <n v="62"/>
  </r>
  <r>
    <x v="0"/>
    <x v="3"/>
    <x v="3"/>
    <n v="90"/>
    <x v="1"/>
    <x v="1"/>
    <n v="66"/>
    <n v="71"/>
    <n v="87"/>
  </r>
  <r>
    <x v="0"/>
    <x v="3"/>
    <x v="4"/>
    <n v="33"/>
    <x v="0"/>
    <x v="0"/>
    <n v="78"/>
    <n v="80"/>
    <n v="79"/>
  </r>
  <r>
    <x v="0"/>
    <x v="3"/>
    <x v="4"/>
    <n v="34"/>
    <x v="0"/>
    <x v="0"/>
    <n v="58"/>
    <n v="61"/>
    <n v="59"/>
  </r>
  <r>
    <x v="0"/>
    <x v="3"/>
    <x v="4"/>
    <n v="35"/>
    <x v="0"/>
    <x v="0"/>
    <n v="41"/>
    <n v="51"/>
    <n v="53"/>
  </r>
  <r>
    <x v="0"/>
    <x v="3"/>
    <x v="4"/>
    <n v="36"/>
    <x v="0"/>
    <x v="1"/>
    <n v="60"/>
    <n v="74"/>
    <n v="72"/>
  </r>
  <r>
    <x v="0"/>
    <x v="3"/>
    <x v="4"/>
    <n v="37"/>
    <x v="0"/>
    <x v="1"/>
    <n v="83"/>
    <n v="100"/>
    <n v="100"/>
  </r>
  <r>
    <x v="0"/>
    <x v="3"/>
    <x v="4"/>
    <n v="38"/>
    <x v="1"/>
    <x v="0"/>
    <n v="69"/>
    <n v="85"/>
    <n v="83"/>
  </r>
  <r>
    <x v="0"/>
    <x v="3"/>
    <x v="4"/>
    <n v="39"/>
    <x v="1"/>
    <x v="0"/>
    <n v="73"/>
    <n v="85"/>
    <n v="83"/>
  </r>
  <r>
    <x v="0"/>
    <x v="3"/>
    <x v="4"/>
    <n v="40"/>
    <x v="1"/>
    <x v="0"/>
    <n v="68"/>
    <n v="79"/>
    <n v="78"/>
  </r>
  <r>
    <x v="0"/>
    <x v="3"/>
    <x v="4"/>
    <n v="41"/>
    <x v="1"/>
    <x v="1"/>
    <n v="59"/>
    <n v="78"/>
    <n v="80"/>
  </r>
  <r>
    <x v="0"/>
    <x v="3"/>
    <x v="4"/>
    <n v="42"/>
    <x v="1"/>
    <x v="1"/>
    <n v="64"/>
    <n v="77"/>
    <n v="77"/>
  </r>
  <r>
    <x v="0"/>
    <x v="3"/>
    <x v="4"/>
    <n v="43"/>
    <x v="1"/>
    <x v="1"/>
    <n v="81"/>
    <n v="96"/>
    <n v="99"/>
  </r>
  <r>
    <x v="0"/>
    <x v="3"/>
    <x v="4"/>
    <n v="44"/>
    <x v="1"/>
    <x v="1"/>
    <n v="45"/>
    <n v="68"/>
    <n v="71"/>
  </r>
  <r>
    <x v="0"/>
    <x v="3"/>
    <x v="5"/>
    <n v="21"/>
    <x v="0"/>
    <x v="0"/>
    <n v="67"/>
    <n v="75"/>
    <n v="80"/>
  </r>
  <r>
    <x v="0"/>
    <x v="3"/>
    <x v="5"/>
    <n v="22"/>
    <x v="0"/>
    <x v="0"/>
    <n v="62"/>
    <n v="71"/>
    <n v="74"/>
  </r>
  <r>
    <x v="0"/>
    <x v="3"/>
    <x v="5"/>
    <n v="23"/>
    <x v="0"/>
    <x v="0"/>
    <n v="44"/>
    <n v="39"/>
    <n v="37"/>
  </r>
  <r>
    <x v="0"/>
    <x v="3"/>
    <x v="5"/>
    <n v="24"/>
    <x v="0"/>
    <x v="0"/>
    <n v="65"/>
    <n v="73"/>
    <n v="77"/>
  </r>
  <r>
    <x v="0"/>
    <x v="3"/>
    <x v="5"/>
    <n v="25"/>
    <x v="0"/>
    <x v="0"/>
    <n v="69"/>
    <n v="67"/>
    <n v="78"/>
  </r>
  <r>
    <x v="0"/>
    <x v="3"/>
    <x v="5"/>
    <n v="26"/>
    <x v="0"/>
    <x v="1"/>
    <n v="64"/>
    <n v="67"/>
    <n v="72"/>
  </r>
  <r>
    <x v="0"/>
    <x v="3"/>
    <x v="5"/>
    <n v="27"/>
    <x v="0"/>
    <x v="1"/>
    <n v="87"/>
    <n v="95"/>
    <n v="100"/>
  </r>
  <r>
    <x v="0"/>
    <x v="3"/>
    <x v="5"/>
    <n v="28"/>
    <x v="1"/>
    <x v="0"/>
    <n v="32"/>
    <n v="35"/>
    <n v="37"/>
  </r>
  <r>
    <x v="0"/>
    <x v="3"/>
    <x v="5"/>
    <n v="29"/>
    <x v="1"/>
    <x v="0"/>
    <n v="93"/>
    <n v="98"/>
    <n v="94"/>
  </r>
  <r>
    <x v="0"/>
    <x v="3"/>
    <x v="5"/>
    <n v="30"/>
    <x v="1"/>
    <x v="0"/>
    <n v="73"/>
    <n v="72"/>
    <n v="75"/>
  </r>
  <r>
    <x v="0"/>
    <x v="4"/>
    <x v="0"/>
    <n v="71"/>
    <x v="0"/>
    <x v="0"/>
    <n v="52"/>
    <n v="71"/>
    <n v="70"/>
  </r>
  <r>
    <x v="0"/>
    <x v="4"/>
    <x v="0"/>
    <n v="72"/>
    <x v="0"/>
    <x v="0"/>
    <n v="48"/>
    <n v="60"/>
    <n v="57"/>
  </r>
  <r>
    <x v="0"/>
    <x v="4"/>
    <x v="0"/>
    <n v="73"/>
    <x v="0"/>
    <x v="0"/>
    <n v="78"/>
    <n v="86"/>
    <n v="80"/>
  </r>
  <r>
    <x v="0"/>
    <x v="4"/>
    <x v="0"/>
    <n v="74"/>
    <x v="0"/>
    <x v="0"/>
    <n v="91"/>
    <n v="97"/>
    <n v="91"/>
  </r>
  <r>
    <x v="0"/>
    <x v="4"/>
    <x v="0"/>
    <n v="75"/>
    <x v="0"/>
    <x v="0"/>
    <n v="87"/>
    <n v="87"/>
    <n v="84"/>
  </r>
  <r>
    <x v="0"/>
    <x v="4"/>
    <x v="0"/>
    <n v="76"/>
    <x v="0"/>
    <x v="1"/>
    <n v="89"/>
    <n v="93"/>
    <n v="93"/>
  </r>
  <r>
    <x v="0"/>
    <x v="4"/>
    <x v="0"/>
    <n v="77"/>
    <x v="0"/>
    <x v="1"/>
    <n v="87"/>
    <n v="90"/>
    <n v="90"/>
  </r>
  <r>
    <x v="0"/>
    <x v="4"/>
    <x v="0"/>
    <n v="78"/>
    <x v="0"/>
    <x v="1"/>
    <n v="89"/>
    <n v="95"/>
    <n v="99"/>
  </r>
  <r>
    <x v="0"/>
    <x v="4"/>
    <x v="0"/>
    <n v="79"/>
    <x v="0"/>
    <x v="1"/>
    <n v="90"/>
    <n v="96"/>
    <n v="98"/>
  </r>
  <r>
    <x v="0"/>
    <x v="4"/>
    <x v="0"/>
    <n v="80"/>
    <x v="1"/>
    <x v="0"/>
    <n v="63"/>
    <n v="72"/>
    <n v="60"/>
  </r>
  <r>
    <x v="0"/>
    <x v="4"/>
    <x v="0"/>
    <n v="81"/>
    <x v="1"/>
    <x v="0"/>
    <n v="62"/>
    <n v="71"/>
    <n v="61"/>
  </r>
  <r>
    <x v="0"/>
    <x v="4"/>
    <x v="0"/>
    <n v="82"/>
    <x v="1"/>
    <x v="1"/>
    <n v="46"/>
    <n v="57"/>
    <n v="57"/>
  </r>
  <r>
    <x v="0"/>
    <x v="4"/>
    <x v="0"/>
    <n v="83"/>
    <x v="1"/>
    <x v="1"/>
    <n v="65"/>
    <n v="72"/>
    <n v="76"/>
  </r>
  <r>
    <x v="0"/>
    <x v="4"/>
    <x v="0"/>
    <n v="84"/>
    <x v="1"/>
    <x v="1"/>
    <n v="42"/>
    <n v="59"/>
    <n v="59"/>
  </r>
  <r>
    <x v="0"/>
    <x v="4"/>
    <x v="1"/>
    <n v="99"/>
    <x v="0"/>
    <x v="0"/>
    <n v="59"/>
    <n v="52"/>
    <n v="56"/>
  </r>
  <r>
    <x v="0"/>
    <x v="4"/>
    <x v="1"/>
    <n v="100"/>
    <x v="0"/>
    <x v="0"/>
    <n v="90"/>
    <n v="96"/>
    <n v="88"/>
  </r>
  <r>
    <x v="0"/>
    <x v="4"/>
    <x v="1"/>
    <n v="101"/>
    <x v="0"/>
    <x v="0"/>
    <n v="61"/>
    <n v="61"/>
    <n v="57"/>
  </r>
  <r>
    <x v="0"/>
    <x v="4"/>
    <x v="1"/>
    <n v="102"/>
    <x v="0"/>
    <x v="0"/>
    <n v="86"/>
    <n v="89"/>
    <n v="87"/>
  </r>
  <r>
    <x v="0"/>
    <x v="4"/>
    <x v="1"/>
    <n v="103"/>
    <x v="0"/>
    <x v="0"/>
    <n v="71"/>
    <n v="83"/>
    <n v="79"/>
  </r>
  <r>
    <x v="0"/>
    <x v="4"/>
    <x v="1"/>
    <n v="104"/>
    <x v="0"/>
    <x v="0"/>
    <n v="85"/>
    <n v="86"/>
    <n v="88"/>
  </r>
  <r>
    <x v="0"/>
    <x v="4"/>
    <x v="1"/>
    <n v="105"/>
    <x v="0"/>
    <x v="0"/>
    <n v="54"/>
    <n v="56"/>
    <n v="56"/>
  </r>
  <r>
    <x v="0"/>
    <x v="4"/>
    <x v="1"/>
    <n v="106"/>
    <x v="0"/>
    <x v="0"/>
    <n v="92"/>
    <n v="94"/>
    <n v="94"/>
  </r>
  <r>
    <x v="0"/>
    <x v="4"/>
    <x v="1"/>
    <n v="107"/>
    <x v="0"/>
    <x v="0"/>
    <n v="79"/>
    <n v="78"/>
    <n v="83"/>
  </r>
  <r>
    <x v="0"/>
    <x v="4"/>
    <x v="1"/>
    <n v="108"/>
    <x v="1"/>
    <x v="0"/>
    <n v="74"/>
    <n v="88"/>
    <n v="75"/>
  </r>
  <r>
    <x v="0"/>
    <x v="4"/>
    <x v="1"/>
    <n v="109"/>
    <x v="1"/>
    <x v="0"/>
    <n v="62"/>
    <n v="70"/>
    <n v="64"/>
  </r>
  <r>
    <x v="0"/>
    <x v="4"/>
    <x v="1"/>
    <n v="110"/>
    <x v="1"/>
    <x v="0"/>
    <n v="85"/>
    <n v="91"/>
    <n v="88"/>
  </r>
  <r>
    <x v="0"/>
    <x v="4"/>
    <x v="1"/>
    <n v="111"/>
    <x v="1"/>
    <x v="1"/>
    <n v="65"/>
    <n v="77"/>
    <n v="74"/>
  </r>
  <r>
    <x v="0"/>
    <x v="4"/>
    <x v="1"/>
    <n v="112"/>
    <x v="1"/>
    <x v="1"/>
    <n v="59"/>
    <n v="68"/>
    <n v="68"/>
  </r>
  <r>
    <x v="0"/>
    <x v="4"/>
    <x v="1"/>
    <n v="113"/>
    <x v="1"/>
    <x v="1"/>
    <n v="68"/>
    <n v="69"/>
    <n v="71"/>
  </r>
  <r>
    <x v="0"/>
    <x v="4"/>
    <x v="1"/>
    <n v="114"/>
    <x v="1"/>
    <x v="1"/>
    <n v="66"/>
    <n v="66"/>
    <n v="75"/>
  </r>
  <r>
    <x v="0"/>
    <x v="4"/>
    <x v="1"/>
    <n v="115"/>
    <x v="1"/>
    <x v="1"/>
    <n v="70"/>
    <n v="77"/>
    <n v="86"/>
  </r>
  <r>
    <x v="0"/>
    <x v="4"/>
    <x v="1"/>
    <n v="116"/>
    <x v="1"/>
    <x v="1"/>
    <n v="80"/>
    <n v="94"/>
    <n v="97"/>
  </r>
  <r>
    <x v="0"/>
    <x v="4"/>
    <x v="2"/>
    <n v="91"/>
    <x v="0"/>
    <x v="0"/>
    <n v="82"/>
    <n v="83"/>
    <n v="80"/>
  </r>
  <r>
    <x v="0"/>
    <x v="4"/>
    <x v="2"/>
    <n v="92"/>
    <x v="0"/>
    <x v="0"/>
    <n v="80"/>
    <n v="79"/>
    <n v="71"/>
  </r>
  <r>
    <x v="0"/>
    <x v="4"/>
    <x v="2"/>
    <n v="93"/>
    <x v="0"/>
    <x v="0"/>
    <n v="75"/>
    <n v="70"/>
    <n v="71"/>
  </r>
  <r>
    <x v="0"/>
    <x v="4"/>
    <x v="2"/>
    <n v="94"/>
    <x v="0"/>
    <x v="0"/>
    <n v="96"/>
    <n v="93"/>
    <n v="100"/>
  </r>
  <r>
    <x v="0"/>
    <x v="4"/>
    <x v="2"/>
    <n v="95"/>
    <x v="0"/>
    <x v="0"/>
    <n v="92"/>
    <n v="100"/>
    <n v="99"/>
  </r>
  <r>
    <x v="0"/>
    <x v="4"/>
    <x v="2"/>
    <n v="96"/>
    <x v="0"/>
    <x v="1"/>
    <n v="86"/>
    <n v="89"/>
    <n v="96"/>
  </r>
  <r>
    <x v="0"/>
    <x v="4"/>
    <x v="2"/>
    <n v="97"/>
    <x v="1"/>
    <x v="0"/>
    <n v="80"/>
    <n v="82"/>
    <n v="85"/>
  </r>
  <r>
    <x v="0"/>
    <x v="4"/>
    <x v="2"/>
    <n v="98"/>
    <x v="1"/>
    <x v="0"/>
    <n v="80"/>
    <n v="80"/>
    <n v="83"/>
  </r>
  <r>
    <x v="0"/>
    <x v="4"/>
    <x v="2"/>
    <n v="99"/>
    <x v="1"/>
    <x v="0"/>
    <n v="60"/>
    <n v="74"/>
    <n v="68"/>
  </r>
  <r>
    <x v="0"/>
    <x v="4"/>
    <x v="2"/>
    <n v="100"/>
    <x v="1"/>
    <x v="0"/>
    <n v="83"/>
    <n v="90"/>
    <n v="95"/>
  </r>
  <r>
    <x v="0"/>
    <x v="4"/>
    <x v="2"/>
    <n v="101"/>
    <x v="1"/>
    <x v="1"/>
    <n v="83"/>
    <n v="86"/>
    <n v="91"/>
  </r>
  <r>
    <x v="0"/>
    <x v="4"/>
    <x v="3"/>
    <n v="91"/>
    <x v="0"/>
    <x v="0"/>
    <n v="83"/>
    <n v="90"/>
    <n v="88"/>
  </r>
  <r>
    <x v="0"/>
    <x v="4"/>
    <x v="3"/>
    <n v="92"/>
    <x v="0"/>
    <x v="0"/>
    <n v="74"/>
    <n v="77"/>
    <n v="73"/>
  </r>
  <r>
    <x v="0"/>
    <x v="4"/>
    <x v="3"/>
    <n v="93"/>
    <x v="0"/>
    <x v="0"/>
    <n v="89"/>
    <n v="93"/>
    <n v="98"/>
  </r>
  <r>
    <x v="0"/>
    <x v="4"/>
    <x v="3"/>
    <n v="94"/>
    <x v="0"/>
    <x v="0"/>
    <n v="62"/>
    <n v="65"/>
    <n v="65"/>
  </r>
  <r>
    <x v="0"/>
    <x v="4"/>
    <x v="3"/>
    <n v="95"/>
    <x v="0"/>
    <x v="0"/>
    <n v="64"/>
    <n v="68"/>
    <n v="60"/>
  </r>
  <r>
    <x v="0"/>
    <x v="4"/>
    <x v="3"/>
    <n v="96"/>
    <x v="0"/>
    <x v="1"/>
    <n v="89"/>
    <n v="94"/>
    <n v="94"/>
  </r>
  <r>
    <x v="0"/>
    <x v="4"/>
    <x v="3"/>
    <n v="97"/>
    <x v="0"/>
    <x v="1"/>
    <n v="86"/>
    <n v="89"/>
    <n v="89"/>
  </r>
  <r>
    <x v="0"/>
    <x v="4"/>
    <x v="3"/>
    <n v="98"/>
    <x v="0"/>
    <x v="1"/>
    <n v="78"/>
    <n v="83"/>
    <n v="76"/>
  </r>
  <r>
    <x v="0"/>
    <x v="4"/>
    <x v="3"/>
    <n v="99"/>
    <x v="0"/>
    <x v="1"/>
    <n v="96"/>
    <n v="98"/>
    <n v="100"/>
  </r>
  <r>
    <x v="0"/>
    <x v="4"/>
    <x v="3"/>
    <n v="100"/>
    <x v="0"/>
    <x v="1"/>
    <n v="82"/>
    <n v="85"/>
    <n v="91"/>
  </r>
  <r>
    <x v="0"/>
    <x v="4"/>
    <x v="3"/>
    <n v="101"/>
    <x v="0"/>
    <x v="1"/>
    <n v="68"/>
    <n v="78"/>
    <n v="77"/>
  </r>
  <r>
    <x v="0"/>
    <x v="4"/>
    <x v="3"/>
    <n v="102"/>
    <x v="1"/>
    <x v="0"/>
    <n v="69"/>
    <n v="74"/>
    <n v="75"/>
  </r>
  <r>
    <x v="0"/>
    <x v="4"/>
    <x v="3"/>
    <n v="103"/>
    <x v="1"/>
    <x v="0"/>
    <n v="41"/>
    <n v="60"/>
    <n v="55"/>
  </r>
  <r>
    <x v="0"/>
    <x v="4"/>
    <x v="3"/>
    <n v="104"/>
    <x v="1"/>
    <x v="0"/>
    <n v="74"/>
    <n v="78"/>
    <n v="81"/>
  </r>
  <r>
    <x v="0"/>
    <x v="4"/>
    <x v="3"/>
    <n v="105"/>
    <x v="1"/>
    <x v="0"/>
    <n v="84"/>
    <n v="88"/>
    <n v="82"/>
  </r>
  <r>
    <x v="0"/>
    <x v="4"/>
    <x v="3"/>
    <n v="106"/>
    <x v="1"/>
    <x v="0"/>
    <n v="76"/>
    <n v="82"/>
    <n v="81"/>
  </r>
  <r>
    <x v="0"/>
    <x v="4"/>
    <x v="4"/>
    <n v="45"/>
    <x v="0"/>
    <x v="0"/>
    <n v="98"/>
    <n v="95"/>
    <n v="100"/>
  </r>
  <r>
    <x v="0"/>
    <x v="4"/>
    <x v="4"/>
    <n v="46"/>
    <x v="0"/>
    <x v="0"/>
    <n v="52"/>
    <n v="53"/>
    <n v="55"/>
  </r>
  <r>
    <x v="0"/>
    <x v="4"/>
    <x v="4"/>
    <n v="47"/>
    <x v="0"/>
    <x v="0"/>
    <n v="66"/>
    <n v="65"/>
    <n v="76"/>
  </r>
  <r>
    <x v="0"/>
    <x v="4"/>
    <x v="4"/>
    <n v="48"/>
    <x v="0"/>
    <x v="0"/>
    <n v="86"/>
    <n v="87"/>
    <n v="90"/>
  </r>
  <r>
    <x v="0"/>
    <x v="4"/>
    <x v="4"/>
    <n v="49"/>
    <x v="0"/>
    <x v="1"/>
    <n v="98"/>
    <n v="100"/>
    <n v="99"/>
  </r>
  <r>
    <x v="0"/>
    <x v="4"/>
    <x v="4"/>
    <n v="50"/>
    <x v="0"/>
    <x v="1"/>
    <n v="92"/>
    <n v="87"/>
    <n v="92"/>
  </r>
  <r>
    <x v="0"/>
    <x v="4"/>
    <x v="4"/>
    <n v="51"/>
    <x v="1"/>
    <x v="0"/>
    <n v="63"/>
    <n v="61"/>
    <n v="64"/>
  </r>
  <r>
    <x v="0"/>
    <x v="4"/>
    <x v="4"/>
    <n v="52"/>
    <x v="1"/>
    <x v="1"/>
    <n v="68"/>
    <n v="82"/>
    <n v="86"/>
  </r>
  <r>
    <x v="0"/>
    <x v="4"/>
    <x v="5"/>
    <n v="31"/>
    <x v="0"/>
    <x v="0"/>
    <n v="85"/>
    <n v="90"/>
    <n v="88"/>
  </r>
  <r>
    <x v="0"/>
    <x v="4"/>
    <x v="5"/>
    <n v="32"/>
    <x v="0"/>
    <x v="0"/>
    <n v="76"/>
    <n v="77"/>
    <n v="77"/>
  </r>
  <r>
    <x v="0"/>
    <x v="4"/>
    <x v="5"/>
    <n v="33"/>
    <x v="1"/>
    <x v="1"/>
    <n v="74"/>
    <n v="83"/>
    <n v="84"/>
  </r>
  <r>
    <x v="1"/>
    <x v="0"/>
    <x v="0"/>
    <n v="85"/>
    <x v="0"/>
    <x v="0"/>
    <n v="83"/>
    <n v="77"/>
    <n v="77"/>
  </r>
  <r>
    <x v="1"/>
    <x v="0"/>
    <x v="0"/>
    <n v="86"/>
    <x v="0"/>
    <x v="0"/>
    <n v="62"/>
    <n v="54"/>
    <n v="52"/>
  </r>
  <r>
    <x v="1"/>
    <x v="0"/>
    <x v="0"/>
    <n v="87"/>
    <x v="0"/>
    <x v="0"/>
    <n v="59"/>
    <n v="60"/>
    <n v="50"/>
  </r>
  <r>
    <x v="1"/>
    <x v="0"/>
    <x v="0"/>
    <n v="88"/>
    <x v="0"/>
    <x v="1"/>
    <n v="79"/>
    <n v="65"/>
    <n v="65"/>
  </r>
  <r>
    <x v="1"/>
    <x v="0"/>
    <x v="0"/>
    <n v="89"/>
    <x v="0"/>
    <x v="1"/>
    <n v="56"/>
    <n v="53"/>
    <n v="53"/>
  </r>
  <r>
    <x v="1"/>
    <x v="0"/>
    <x v="0"/>
    <n v="90"/>
    <x v="0"/>
    <x v="1"/>
    <n v="67"/>
    <n v="60"/>
    <n v="69"/>
  </r>
  <r>
    <x v="1"/>
    <x v="0"/>
    <x v="0"/>
    <n v="91"/>
    <x v="1"/>
    <x v="1"/>
    <n v="59"/>
    <n v="55"/>
    <n v="58"/>
  </r>
  <r>
    <x v="1"/>
    <x v="0"/>
    <x v="1"/>
    <n v="117"/>
    <x v="0"/>
    <x v="0"/>
    <n v="78"/>
    <n v="72"/>
    <n v="66"/>
  </r>
  <r>
    <x v="1"/>
    <x v="0"/>
    <x v="1"/>
    <n v="118"/>
    <x v="0"/>
    <x v="0"/>
    <n v="56"/>
    <n v="45"/>
    <n v="38"/>
  </r>
  <r>
    <x v="1"/>
    <x v="0"/>
    <x v="1"/>
    <n v="119"/>
    <x v="0"/>
    <x v="1"/>
    <n v="78"/>
    <n v="88"/>
    <n v="85"/>
  </r>
  <r>
    <x v="1"/>
    <x v="0"/>
    <x v="1"/>
    <n v="120"/>
    <x v="0"/>
    <x v="1"/>
    <n v="80"/>
    <n v="72"/>
    <n v="72"/>
  </r>
  <r>
    <x v="1"/>
    <x v="0"/>
    <x v="1"/>
    <n v="121"/>
    <x v="0"/>
    <x v="1"/>
    <n v="83"/>
    <n v="71"/>
    <n v="69"/>
  </r>
  <r>
    <x v="1"/>
    <x v="0"/>
    <x v="1"/>
    <n v="122"/>
    <x v="1"/>
    <x v="0"/>
    <n v="44"/>
    <n v="49"/>
    <n v="43"/>
  </r>
  <r>
    <x v="1"/>
    <x v="0"/>
    <x v="1"/>
    <n v="123"/>
    <x v="1"/>
    <x v="0"/>
    <n v="70"/>
    <n v="74"/>
    <n v="65"/>
  </r>
  <r>
    <x v="1"/>
    <x v="0"/>
    <x v="2"/>
    <n v="102"/>
    <x v="0"/>
    <x v="0"/>
    <n v="37"/>
    <n v="40"/>
    <n v="36"/>
  </r>
  <r>
    <x v="1"/>
    <x v="0"/>
    <x v="2"/>
    <n v="103"/>
    <x v="0"/>
    <x v="0"/>
    <n v="60"/>
    <n v="56"/>
    <n v="57"/>
  </r>
  <r>
    <x v="1"/>
    <x v="0"/>
    <x v="2"/>
    <n v="104"/>
    <x v="0"/>
    <x v="0"/>
    <n v="83"/>
    <n v="83"/>
    <n v="70"/>
  </r>
  <r>
    <x v="1"/>
    <x v="0"/>
    <x v="2"/>
    <n v="105"/>
    <x v="0"/>
    <x v="1"/>
    <n v="96"/>
    <n v="82"/>
    <n v="90"/>
  </r>
  <r>
    <x v="1"/>
    <x v="0"/>
    <x v="2"/>
    <n v="106"/>
    <x v="0"/>
    <x v="1"/>
    <n v="85"/>
    <n v="75"/>
    <n v="74"/>
  </r>
  <r>
    <x v="1"/>
    <x v="0"/>
    <x v="2"/>
    <n v="107"/>
    <x v="0"/>
    <x v="1"/>
    <n v="79"/>
    <n v="65"/>
    <n v="69"/>
  </r>
  <r>
    <x v="1"/>
    <x v="0"/>
    <x v="2"/>
    <n v="108"/>
    <x v="0"/>
    <x v="1"/>
    <n v="55"/>
    <n v="62"/>
    <n v="58"/>
  </r>
  <r>
    <x v="1"/>
    <x v="0"/>
    <x v="2"/>
    <n v="109"/>
    <x v="1"/>
    <x v="1"/>
    <n v="56"/>
    <n v="60"/>
    <n v="63"/>
  </r>
  <r>
    <x v="1"/>
    <x v="0"/>
    <x v="2"/>
    <n v="110"/>
    <x v="1"/>
    <x v="1"/>
    <n v="68"/>
    <n v="71"/>
    <n v="64"/>
  </r>
  <r>
    <x v="1"/>
    <x v="0"/>
    <x v="2"/>
    <n v="111"/>
    <x v="1"/>
    <x v="1"/>
    <n v="69"/>
    <n v="77"/>
    <n v="77"/>
  </r>
  <r>
    <x v="1"/>
    <x v="0"/>
    <x v="2"/>
    <n v="112"/>
    <x v="1"/>
    <x v="1"/>
    <n v="63"/>
    <n v="61"/>
    <n v="64"/>
  </r>
  <r>
    <x v="1"/>
    <x v="0"/>
    <x v="2"/>
    <n v="113"/>
    <x v="1"/>
    <x v="1"/>
    <n v="75"/>
    <n v="67"/>
    <n v="67"/>
  </r>
  <r>
    <x v="1"/>
    <x v="0"/>
    <x v="3"/>
    <n v="107"/>
    <x v="0"/>
    <x v="0"/>
    <n v="70"/>
    <n v="73"/>
    <n v="70"/>
  </r>
  <r>
    <x v="1"/>
    <x v="0"/>
    <x v="3"/>
    <n v="108"/>
    <x v="0"/>
    <x v="0"/>
    <n v="62"/>
    <n v="58"/>
    <n v="57"/>
  </r>
  <r>
    <x v="1"/>
    <x v="0"/>
    <x v="3"/>
    <n v="109"/>
    <x v="0"/>
    <x v="0"/>
    <n v="77"/>
    <n v="73"/>
    <n v="69"/>
  </r>
  <r>
    <x v="1"/>
    <x v="0"/>
    <x v="3"/>
    <n v="110"/>
    <x v="0"/>
    <x v="0"/>
    <n v="72"/>
    <n v="77"/>
    <n v="67"/>
  </r>
  <r>
    <x v="1"/>
    <x v="0"/>
    <x v="3"/>
    <n v="111"/>
    <x v="0"/>
    <x v="0"/>
    <n v="58"/>
    <n v="64"/>
    <n v="55"/>
  </r>
  <r>
    <x v="1"/>
    <x v="0"/>
    <x v="3"/>
    <n v="112"/>
    <x v="0"/>
    <x v="0"/>
    <n v="82"/>
    <n v="68"/>
    <n v="63"/>
  </r>
  <r>
    <x v="1"/>
    <x v="0"/>
    <x v="3"/>
    <n v="113"/>
    <x v="0"/>
    <x v="1"/>
    <n v="92"/>
    <n v="86"/>
    <n v="88"/>
  </r>
  <r>
    <x v="1"/>
    <x v="0"/>
    <x v="3"/>
    <n v="114"/>
    <x v="0"/>
    <x v="1"/>
    <n v="56"/>
    <n v="51"/>
    <n v="44"/>
  </r>
  <r>
    <x v="1"/>
    <x v="0"/>
    <x v="3"/>
    <n v="115"/>
    <x v="1"/>
    <x v="0"/>
    <n v="43"/>
    <n v="43"/>
    <n v="40"/>
  </r>
  <r>
    <x v="1"/>
    <x v="0"/>
    <x v="3"/>
    <n v="116"/>
    <x v="1"/>
    <x v="1"/>
    <n v="74"/>
    <n v="75"/>
    <n v="78"/>
  </r>
  <r>
    <x v="1"/>
    <x v="0"/>
    <x v="5"/>
    <n v="34"/>
    <x v="0"/>
    <x v="0"/>
    <n v="59"/>
    <n v="57"/>
    <n v="51"/>
  </r>
  <r>
    <x v="1"/>
    <x v="0"/>
    <x v="5"/>
    <n v="35"/>
    <x v="1"/>
    <x v="0"/>
    <n v="84"/>
    <n v="85"/>
    <n v="87"/>
  </r>
  <r>
    <x v="1"/>
    <x v="1"/>
    <x v="0"/>
    <n v="92"/>
    <x v="0"/>
    <x v="0"/>
    <n v="74"/>
    <n v="69"/>
    <n v="69"/>
  </r>
  <r>
    <x v="1"/>
    <x v="1"/>
    <x v="0"/>
    <n v="93"/>
    <x v="0"/>
    <x v="0"/>
    <n v="71"/>
    <n v="63"/>
    <n v="55"/>
  </r>
  <r>
    <x v="1"/>
    <x v="1"/>
    <x v="0"/>
    <n v="94"/>
    <x v="0"/>
    <x v="0"/>
    <n v="63"/>
    <n v="56"/>
    <n v="47"/>
  </r>
  <r>
    <x v="1"/>
    <x v="1"/>
    <x v="0"/>
    <n v="95"/>
    <x v="0"/>
    <x v="0"/>
    <n v="49"/>
    <n v="39"/>
    <n v="33"/>
  </r>
  <r>
    <x v="1"/>
    <x v="1"/>
    <x v="0"/>
    <n v="96"/>
    <x v="0"/>
    <x v="0"/>
    <n v="55"/>
    <n v="49"/>
    <n v="44"/>
  </r>
  <r>
    <x v="1"/>
    <x v="1"/>
    <x v="0"/>
    <n v="97"/>
    <x v="0"/>
    <x v="0"/>
    <n v="79"/>
    <n v="69"/>
    <n v="70"/>
  </r>
  <r>
    <x v="1"/>
    <x v="1"/>
    <x v="0"/>
    <n v="98"/>
    <x v="0"/>
    <x v="1"/>
    <n v="45"/>
    <n v="50"/>
    <n v="48"/>
  </r>
  <r>
    <x v="1"/>
    <x v="1"/>
    <x v="0"/>
    <n v="99"/>
    <x v="0"/>
    <x v="1"/>
    <n v="72"/>
    <n v="62"/>
    <n v="62"/>
  </r>
  <r>
    <x v="1"/>
    <x v="1"/>
    <x v="0"/>
    <n v="100"/>
    <x v="1"/>
    <x v="0"/>
    <n v="33"/>
    <n v="47"/>
    <n v="32"/>
  </r>
  <r>
    <x v="1"/>
    <x v="1"/>
    <x v="0"/>
    <n v="101"/>
    <x v="1"/>
    <x v="0"/>
    <n v="46"/>
    <n v="41"/>
    <n v="40"/>
  </r>
  <r>
    <x v="1"/>
    <x v="1"/>
    <x v="0"/>
    <n v="102"/>
    <x v="1"/>
    <x v="0"/>
    <n v="38"/>
    <n v="38"/>
    <n v="30"/>
  </r>
  <r>
    <x v="1"/>
    <x v="1"/>
    <x v="0"/>
    <n v="103"/>
    <x v="1"/>
    <x v="1"/>
    <n v="58"/>
    <n v="56"/>
    <n v="53"/>
  </r>
  <r>
    <x v="1"/>
    <x v="1"/>
    <x v="0"/>
    <n v="104"/>
    <x v="1"/>
    <x v="1"/>
    <n v="64"/>
    <n v="62"/>
    <n v="55"/>
  </r>
  <r>
    <x v="1"/>
    <x v="1"/>
    <x v="1"/>
    <n v="124"/>
    <x v="0"/>
    <x v="0"/>
    <n v="86"/>
    <n v="82"/>
    <n v="72"/>
  </r>
  <r>
    <x v="1"/>
    <x v="1"/>
    <x v="1"/>
    <n v="125"/>
    <x v="0"/>
    <x v="0"/>
    <n v="65"/>
    <n v="61"/>
    <n v="57"/>
  </r>
  <r>
    <x v="1"/>
    <x v="1"/>
    <x v="1"/>
    <n v="126"/>
    <x v="0"/>
    <x v="0"/>
    <n v="44"/>
    <n v="50"/>
    <n v="37"/>
  </r>
  <r>
    <x v="1"/>
    <x v="1"/>
    <x v="1"/>
    <n v="127"/>
    <x v="0"/>
    <x v="0"/>
    <n v="71"/>
    <n v="63"/>
    <n v="61"/>
  </r>
  <r>
    <x v="1"/>
    <x v="1"/>
    <x v="1"/>
    <n v="128"/>
    <x v="0"/>
    <x v="0"/>
    <n v="52"/>
    <n v="48"/>
    <n v="49"/>
  </r>
  <r>
    <x v="1"/>
    <x v="1"/>
    <x v="1"/>
    <n v="129"/>
    <x v="0"/>
    <x v="0"/>
    <n v="51"/>
    <n v="52"/>
    <n v="46"/>
  </r>
  <r>
    <x v="1"/>
    <x v="1"/>
    <x v="1"/>
    <n v="130"/>
    <x v="0"/>
    <x v="0"/>
    <n v="81"/>
    <n v="71"/>
    <n v="62"/>
  </r>
  <r>
    <x v="1"/>
    <x v="1"/>
    <x v="1"/>
    <n v="131"/>
    <x v="0"/>
    <x v="0"/>
    <n v="65"/>
    <n v="66"/>
    <n v="61"/>
  </r>
  <r>
    <x v="1"/>
    <x v="1"/>
    <x v="1"/>
    <n v="132"/>
    <x v="0"/>
    <x v="0"/>
    <n v="64"/>
    <n v="57"/>
    <n v="52"/>
  </r>
  <r>
    <x v="1"/>
    <x v="1"/>
    <x v="1"/>
    <n v="133"/>
    <x v="0"/>
    <x v="1"/>
    <n v="88"/>
    <n v="87"/>
    <n v="85"/>
  </r>
  <r>
    <x v="1"/>
    <x v="1"/>
    <x v="1"/>
    <n v="134"/>
    <x v="0"/>
    <x v="1"/>
    <n v="85"/>
    <n v="75"/>
    <n v="72"/>
  </r>
  <r>
    <x v="1"/>
    <x v="1"/>
    <x v="1"/>
    <n v="135"/>
    <x v="1"/>
    <x v="0"/>
    <n v="65"/>
    <n v="55"/>
    <n v="51"/>
  </r>
  <r>
    <x v="1"/>
    <x v="1"/>
    <x v="1"/>
    <n v="136"/>
    <x v="1"/>
    <x v="1"/>
    <n v="59"/>
    <n v="62"/>
    <n v="58"/>
  </r>
  <r>
    <x v="1"/>
    <x v="1"/>
    <x v="1"/>
    <n v="137"/>
    <x v="1"/>
    <x v="1"/>
    <n v="76"/>
    <n v="81"/>
    <n v="72"/>
  </r>
  <r>
    <x v="1"/>
    <x v="1"/>
    <x v="1"/>
    <n v="138"/>
    <x v="1"/>
    <x v="1"/>
    <n v="73"/>
    <n v="68"/>
    <n v="71"/>
  </r>
  <r>
    <x v="1"/>
    <x v="1"/>
    <x v="2"/>
    <n v="114"/>
    <x v="0"/>
    <x v="0"/>
    <n v="47"/>
    <n v="48"/>
    <n v="49"/>
  </r>
  <r>
    <x v="1"/>
    <x v="1"/>
    <x v="2"/>
    <n v="115"/>
    <x v="0"/>
    <x v="0"/>
    <n v="67"/>
    <n v="60"/>
    <n v="61"/>
  </r>
  <r>
    <x v="1"/>
    <x v="1"/>
    <x v="2"/>
    <n v="116"/>
    <x v="0"/>
    <x v="0"/>
    <n v="72"/>
    <n v="67"/>
    <n v="64"/>
  </r>
  <r>
    <x v="1"/>
    <x v="1"/>
    <x v="2"/>
    <n v="117"/>
    <x v="0"/>
    <x v="0"/>
    <n v="74"/>
    <n v="65"/>
    <n v="61"/>
  </r>
  <r>
    <x v="1"/>
    <x v="1"/>
    <x v="2"/>
    <n v="118"/>
    <x v="0"/>
    <x v="0"/>
    <n v="59"/>
    <n v="52"/>
    <n v="45"/>
  </r>
  <r>
    <x v="1"/>
    <x v="1"/>
    <x v="2"/>
    <n v="119"/>
    <x v="0"/>
    <x v="0"/>
    <n v="73"/>
    <n v="54"/>
    <n v="57"/>
  </r>
  <r>
    <x v="1"/>
    <x v="1"/>
    <x v="2"/>
    <n v="120"/>
    <x v="0"/>
    <x v="0"/>
    <n v="81"/>
    <n v="66"/>
    <n v="58"/>
  </r>
  <r>
    <x v="1"/>
    <x v="1"/>
    <x v="2"/>
    <n v="121"/>
    <x v="0"/>
    <x v="1"/>
    <n v="76"/>
    <n v="79"/>
    <n v="80"/>
  </r>
  <r>
    <x v="1"/>
    <x v="1"/>
    <x v="2"/>
    <n v="122"/>
    <x v="0"/>
    <x v="1"/>
    <n v="79"/>
    <n v="77"/>
    <n v="75"/>
  </r>
  <r>
    <x v="1"/>
    <x v="1"/>
    <x v="2"/>
    <n v="123"/>
    <x v="1"/>
    <x v="0"/>
    <n v="60"/>
    <n v="59"/>
    <n v="52"/>
  </r>
  <r>
    <x v="1"/>
    <x v="1"/>
    <x v="2"/>
    <n v="124"/>
    <x v="1"/>
    <x v="0"/>
    <n v="74"/>
    <n v="79"/>
    <n v="65"/>
  </r>
  <r>
    <x v="1"/>
    <x v="1"/>
    <x v="2"/>
    <n v="125"/>
    <x v="1"/>
    <x v="0"/>
    <n v="45"/>
    <n v="52"/>
    <n v="45"/>
  </r>
  <r>
    <x v="1"/>
    <x v="1"/>
    <x v="2"/>
    <n v="126"/>
    <x v="1"/>
    <x v="0"/>
    <n v="57"/>
    <n v="59"/>
    <n v="62"/>
  </r>
  <r>
    <x v="1"/>
    <x v="1"/>
    <x v="2"/>
    <n v="127"/>
    <x v="1"/>
    <x v="1"/>
    <n v="84"/>
    <n v="91"/>
    <n v="89"/>
  </r>
  <r>
    <x v="1"/>
    <x v="1"/>
    <x v="2"/>
    <n v="128"/>
    <x v="1"/>
    <x v="1"/>
    <n v="50"/>
    <n v="56"/>
    <n v="55"/>
  </r>
  <r>
    <x v="1"/>
    <x v="1"/>
    <x v="2"/>
    <n v="129"/>
    <x v="1"/>
    <x v="1"/>
    <n v="68"/>
    <n v="73"/>
    <n v="72"/>
  </r>
  <r>
    <x v="1"/>
    <x v="1"/>
    <x v="3"/>
    <n v="117"/>
    <x v="0"/>
    <x v="0"/>
    <n v="74"/>
    <n v="83"/>
    <n v="72"/>
  </r>
  <r>
    <x v="1"/>
    <x v="1"/>
    <x v="3"/>
    <n v="118"/>
    <x v="0"/>
    <x v="0"/>
    <n v="85"/>
    <n v="80"/>
    <n v="73"/>
  </r>
  <r>
    <x v="1"/>
    <x v="1"/>
    <x v="3"/>
    <n v="119"/>
    <x v="0"/>
    <x v="0"/>
    <n v="60"/>
    <n v="59"/>
    <n v="53"/>
  </r>
  <r>
    <x v="1"/>
    <x v="1"/>
    <x v="3"/>
    <n v="120"/>
    <x v="0"/>
    <x v="0"/>
    <n v="60"/>
    <n v="55"/>
    <n v="52"/>
  </r>
  <r>
    <x v="1"/>
    <x v="1"/>
    <x v="3"/>
    <n v="121"/>
    <x v="0"/>
    <x v="0"/>
    <n v="69"/>
    <n v="59"/>
    <n v="57"/>
  </r>
  <r>
    <x v="1"/>
    <x v="1"/>
    <x v="3"/>
    <n v="122"/>
    <x v="0"/>
    <x v="0"/>
    <n v="76"/>
    <n v="70"/>
    <n v="67"/>
  </r>
  <r>
    <x v="1"/>
    <x v="1"/>
    <x v="3"/>
    <n v="123"/>
    <x v="0"/>
    <x v="0"/>
    <n v="58"/>
    <n v="47"/>
    <n v="45"/>
  </r>
  <r>
    <x v="1"/>
    <x v="1"/>
    <x v="3"/>
    <n v="124"/>
    <x v="0"/>
    <x v="1"/>
    <n v="83"/>
    <n v="79"/>
    <n v="80"/>
  </r>
  <r>
    <x v="1"/>
    <x v="1"/>
    <x v="3"/>
    <n v="125"/>
    <x v="0"/>
    <x v="1"/>
    <n v="77"/>
    <n v="68"/>
    <n v="66"/>
  </r>
  <r>
    <x v="1"/>
    <x v="1"/>
    <x v="3"/>
    <n v="126"/>
    <x v="1"/>
    <x v="0"/>
    <n v="70"/>
    <n v="70"/>
    <n v="63"/>
  </r>
  <r>
    <x v="1"/>
    <x v="1"/>
    <x v="3"/>
    <n v="127"/>
    <x v="1"/>
    <x v="0"/>
    <n v="51"/>
    <n v="50"/>
    <n v="44"/>
  </r>
  <r>
    <x v="1"/>
    <x v="1"/>
    <x v="3"/>
    <n v="128"/>
    <x v="1"/>
    <x v="0"/>
    <n v="44"/>
    <n v="45"/>
    <n v="41"/>
  </r>
  <r>
    <x v="1"/>
    <x v="1"/>
    <x v="3"/>
    <n v="129"/>
    <x v="1"/>
    <x v="0"/>
    <n v="78"/>
    <n v="68"/>
    <n v="70"/>
  </r>
  <r>
    <x v="1"/>
    <x v="1"/>
    <x v="3"/>
    <n v="130"/>
    <x v="1"/>
    <x v="0"/>
    <n v="52"/>
    <n v="57"/>
    <n v="49"/>
  </r>
  <r>
    <x v="1"/>
    <x v="1"/>
    <x v="3"/>
    <n v="131"/>
    <x v="1"/>
    <x v="0"/>
    <n v="42"/>
    <n v="48"/>
    <n v="33"/>
  </r>
  <r>
    <x v="1"/>
    <x v="1"/>
    <x v="3"/>
    <n v="132"/>
    <x v="1"/>
    <x v="0"/>
    <n v="56"/>
    <n v="47"/>
    <n v="48"/>
  </r>
  <r>
    <x v="1"/>
    <x v="1"/>
    <x v="3"/>
    <n v="133"/>
    <x v="1"/>
    <x v="1"/>
    <n v="58"/>
    <n v="57"/>
    <n v="58"/>
  </r>
  <r>
    <x v="1"/>
    <x v="1"/>
    <x v="3"/>
    <n v="134"/>
    <x v="1"/>
    <x v="1"/>
    <n v="76"/>
    <n v="83"/>
    <n v="78"/>
  </r>
  <r>
    <x v="1"/>
    <x v="1"/>
    <x v="4"/>
    <n v="53"/>
    <x v="0"/>
    <x v="0"/>
    <n v="63"/>
    <n v="46"/>
    <n v="46"/>
  </r>
  <r>
    <x v="1"/>
    <x v="1"/>
    <x v="4"/>
    <n v="54"/>
    <x v="0"/>
    <x v="0"/>
    <n v="82"/>
    <n v="68"/>
    <n v="69"/>
  </r>
  <r>
    <x v="1"/>
    <x v="1"/>
    <x v="4"/>
    <n v="55"/>
    <x v="0"/>
    <x v="0"/>
    <n v="84"/>
    <n v="81"/>
    <n v="72"/>
  </r>
  <r>
    <x v="1"/>
    <x v="1"/>
    <x v="4"/>
    <n v="56"/>
    <x v="0"/>
    <x v="0"/>
    <n v="84"/>
    <n v="80"/>
    <n v="77"/>
  </r>
  <r>
    <x v="1"/>
    <x v="1"/>
    <x v="4"/>
    <n v="57"/>
    <x v="0"/>
    <x v="1"/>
    <n v="94"/>
    <n v="82"/>
    <n v="93"/>
  </r>
  <r>
    <x v="1"/>
    <x v="1"/>
    <x v="4"/>
    <n v="58"/>
    <x v="0"/>
    <x v="1"/>
    <n v="64"/>
    <n v="70"/>
    <n v="72"/>
  </r>
  <r>
    <x v="1"/>
    <x v="1"/>
    <x v="4"/>
    <n v="59"/>
    <x v="0"/>
    <x v="1"/>
    <n v="62"/>
    <n v="60"/>
    <n v="55"/>
  </r>
  <r>
    <x v="1"/>
    <x v="1"/>
    <x v="4"/>
    <n v="60"/>
    <x v="0"/>
    <x v="1"/>
    <n v="88"/>
    <n v="82"/>
    <n v="82"/>
  </r>
  <r>
    <x v="1"/>
    <x v="1"/>
    <x v="4"/>
    <n v="61"/>
    <x v="1"/>
    <x v="0"/>
    <n v="76"/>
    <n v="74"/>
    <n v="76"/>
  </r>
  <r>
    <x v="1"/>
    <x v="1"/>
    <x v="4"/>
    <n v="62"/>
    <x v="1"/>
    <x v="0"/>
    <n v="57"/>
    <n v="54"/>
    <n v="44"/>
  </r>
  <r>
    <x v="1"/>
    <x v="1"/>
    <x v="4"/>
    <n v="63"/>
    <x v="1"/>
    <x v="0"/>
    <n v="50"/>
    <n v="40"/>
    <n v="38"/>
  </r>
  <r>
    <x v="1"/>
    <x v="1"/>
    <x v="4"/>
    <n v="64"/>
    <x v="1"/>
    <x v="0"/>
    <n v="70"/>
    <n v="70"/>
    <n v="66"/>
  </r>
  <r>
    <x v="1"/>
    <x v="1"/>
    <x v="4"/>
    <n v="65"/>
    <x v="1"/>
    <x v="0"/>
    <n v="55"/>
    <n v="59"/>
    <n v="49"/>
  </r>
  <r>
    <x v="1"/>
    <x v="1"/>
    <x v="4"/>
    <n v="66"/>
    <x v="1"/>
    <x v="1"/>
    <n v="48"/>
    <n v="59"/>
    <n v="55"/>
  </r>
  <r>
    <x v="1"/>
    <x v="1"/>
    <x v="5"/>
    <n v="36"/>
    <x v="0"/>
    <x v="0"/>
    <n v="53"/>
    <n v="50"/>
    <n v="49"/>
  </r>
  <r>
    <x v="1"/>
    <x v="1"/>
    <x v="5"/>
    <n v="37"/>
    <x v="0"/>
    <x v="0"/>
    <n v="68"/>
    <n v="65"/>
    <n v="60"/>
  </r>
  <r>
    <x v="1"/>
    <x v="1"/>
    <x v="5"/>
    <n v="38"/>
    <x v="0"/>
    <x v="0"/>
    <n v="61"/>
    <n v="56"/>
    <n v="52"/>
  </r>
  <r>
    <x v="1"/>
    <x v="1"/>
    <x v="5"/>
    <n v="39"/>
    <x v="0"/>
    <x v="0"/>
    <n v="100"/>
    <n v="90"/>
    <n v="88"/>
  </r>
  <r>
    <x v="1"/>
    <x v="1"/>
    <x v="5"/>
    <n v="40"/>
    <x v="0"/>
    <x v="0"/>
    <n v="88"/>
    <n v="78"/>
    <n v="84"/>
  </r>
  <r>
    <x v="1"/>
    <x v="1"/>
    <x v="5"/>
    <n v="41"/>
    <x v="0"/>
    <x v="0"/>
    <n v="92"/>
    <n v="89"/>
    <n v="83"/>
  </r>
  <r>
    <x v="1"/>
    <x v="1"/>
    <x v="5"/>
    <n v="42"/>
    <x v="1"/>
    <x v="0"/>
    <n v="76"/>
    <n v="68"/>
    <n v="70"/>
  </r>
  <r>
    <x v="1"/>
    <x v="1"/>
    <x v="5"/>
    <n v="43"/>
    <x v="1"/>
    <x v="0"/>
    <n v="65"/>
    <n v="65"/>
    <n v="62"/>
  </r>
  <r>
    <x v="1"/>
    <x v="1"/>
    <x v="5"/>
    <n v="44"/>
    <x v="1"/>
    <x v="0"/>
    <n v="54"/>
    <n v="60"/>
    <n v="60"/>
  </r>
  <r>
    <x v="1"/>
    <x v="1"/>
    <x v="5"/>
    <n v="45"/>
    <x v="1"/>
    <x v="1"/>
    <n v="71"/>
    <n v="75"/>
    <n v="73"/>
  </r>
  <r>
    <x v="1"/>
    <x v="2"/>
    <x v="0"/>
    <n v="105"/>
    <x v="0"/>
    <x v="0"/>
    <n v="68"/>
    <n v="57"/>
    <n v="54"/>
  </r>
  <r>
    <x v="1"/>
    <x v="2"/>
    <x v="0"/>
    <n v="106"/>
    <x v="0"/>
    <x v="0"/>
    <n v="80"/>
    <n v="75"/>
    <n v="73"/>
  </r>
  <r>
    <x v="1"/>
    <x v="2"/>
    <x v="0"/>
    <n v="107"/>
    <x v="0"/>
    <x v="0"/>
    <n v="67"/>
    <n v="66"/>
    <n v="66"/>
  </r>
  <r>
    <x v="1"/>
    <x v="2"/>
    <x v="0"/>
    <n v="108"/>
    <x v="0"/>
    <x v="0"/>
    <n v="59"/>
    <n v="50"/>
    <n v="41"/>
  </r>
  <r>
    <x v="1"/>
    <x v="2"/>
    <x v="0"/>
    <n v="109"/>
    <x v="0"/>
    <x v="0"/>
    <n v="64"/>
    <n v="56"/>
    <n v="51"/>
  </r>
  <r>
    <x v="1"/>
    <x v="2"/>
    <x v="0"/>
    <n v="110"/>
    <x v="0"/>
    <x v="0"/>
    <n v="57"/>
    <n v="46"/>
    <n v="44"/>
  </r>
  <r>
    <x v="1"/>
    <x v="2"/>
    <x v="0"/>
    <n v="111"/>
    <x v="0"/>
    <x v="0"/>
    <n v="77"/>
    <n v="79"/>
    <n v="76"/>
  </r>
  <r>
    <x v="1"/>
    <x v="2"/>
    <x v="0"/>
    <n v="112"/>
    <x v="0"/>
    <x v="0"/>
    <n v="63"/>
    <n v="57"/>
    <n v="59"/>
  </r>
  <r>
    <x v="1"/>
    <x v="2"/>
    <x v="0"/>
    <n v="113"/>
    <x v="0"/>
    <x v="0"/>
    <n v="79"/>
    <n v="65"/>
    <n v="67"/>
  </r>
  <r>
    <x v="1"/>
    <x v="2"/>
    <x v="0"/>
    <n v="114"/>
    <x v="0"/>
    <x v="0"/>
    <n v="67"/>
    <n v="65"/>
    <n v="62"/>
  </r>
  <r>
    <x v="1"/>
    <x v="2"/>
    <x v="0"/>
    <n v="115"/>
    <x v="0"/>
    <x v="0"/>
    <n v="68"/>
    <n v="76"/>
    <n v="72"/>
  </r>
  <r>
    <x v="1"/>
    <x v="2"/>
    <x v="0"/>
    <n v="116"/>
    <x v="0"/>
    <x v="0"/>
    <n v="54"/>
    <n v="56"/>
    <n v="47"/>
  </r>
  <r>
    <x v="1"/>
    <x v="2"/>
    <x v="0"/>
    <n v="117"/>
    <x v="0"/>
    <x v="0"/>
    <n v="63"/>
    <n v="59"/>
    <n v="51"/>
  </r>
  <r>
    <x v="1"/>
    <x v="2"/>
    <x v="0"/>
    <n v="118"/>
    <x v="0"/>
    <x v="0"/>
    <n v="65"/>
    <n v="58"/>
    <n v="57"/>
  </r>
  <r>
    <x v="1"/>
    <x v="2"/>
    <x v="0"/>
    <n v="119"/>
    <x v="0"/>
    <x v="0"/>
    <n v="63"/>
    <n v="63"/>
    <n v="63"/>
  </r>
  <r>
    <x v="1"/>
    <x v="2"/>
    <x v="0"/>
    <n v="120"/>
    <x v="0"/>
    <x v="0"/>
    <n v="84"/>
    <n v="84"/>
    <n v="74"/>
  </r>
  <r>
    <x v="1"/>
    <x v="2"/>
    <x v="0"/>
    <n v="121"/>
    <x v="0"/>
    <x v="0"/>
    <n v="94"/>
    <n v="84"/>
    <n v="80"/>
  </r>
  <r>
    <x v="1"/>
    <x v="2"/>
    <x v="0"/>
    <n v="122"/>
    <x v="0"/>
    <x v="0"/>
    <n v="45"/>
    <n v="48"/>
    <n v="46"/>
  </r>
  <r>
    <x v="1"/>
    <x v="2"/>
    <x v="0"/>
    <n v="123"/>
    <x v="0"/>
    <x v="0"/>
    <n v="83"/>
    <n v="84"/>
    <n v="78"/>
  </r>
  <r>
    <x v="1"/>
    <x v="2"/>
    <x v="0"/>
    <n v="124"/>
    <x v="0"/>
    <x v="0"/>
    <n v="28"/>
    <n v="27"/>
    <n v="23"/>
  </r>
  <r>
    <x v="1"/>
    <x v="2"/>
    <x v="0"/>
    <n v="125"/>
    <x v="0"/>
    <x v="1"/>
    <n v="83"/>
    <n v="81"/>
    <n v="78"/>
  </r>
  <r>
    <x v="1"/>
    <x v="2"/>
    <x v="0"/>
    <n v="126"/>
    <x v="0"/>
    <x v="1"/>
    <n v="52"/>
    <n v="59"/>
    <n v="59"/>
  </r>
  <r>
    <x v="1"/>
    <x v="2"/>
    <x v="0"/>
    <n v="127"/>
    <x v="0"/>
    <x v="1"/>
    <n v="62"/>
    <n v="71"/>
    <n v="62"/>
  </r>
  <r>
    <x v="1"/>
    <x v="2"/>
    <x v="0"/>
    <n v="128"/>
    <x v="0"/>
    <x v="1"/>
    <n v="63"/>
    <n v="69"/>
    <n v="68"/>
  </r>
  <r>
    <x v="1"/>
    <x v="2"/>
    <x v="0"/>
    <n v="129"/>
    <x v="0"/>
    <x v="1"/>
    <n v="86"/>
    <n v="89"/>
    <n v="87"/>
  </r>
  <r>
    <x v="1"/>
    <x v="2"/>
    <x v="0"/>
    <n v="130"/>
    <x v="0"/>
    <x v="1"/>
    <n v="60"/>
    <n v="51"/>
    <n v="55"/>
  </r>
  <r>
    <x v="1"/>
    <x v="2"/>
    <x v="0"/>
    <n v="131"/>
    <x v="1"/>
    <x v="0"/>
    <n v="61"/>
    <n v="56"/>
    <n v="53"/>
  </r>
  <r>
    <x v="1"/>
    <x v="2"/>
    <x v="0"/>
    <n v="132"/>
    <x v="1"/>
    <x v="0"/>
    <n v="74"/>
    <n v="66"/>
    <n v="64"/>
  </r>
  <r>
    <x v="1"/>
    <x v="2"/>
    <x v="0"/>
    <n v="133"/>
    <x v="1"/>
    <x v="0"/>
    <n v="64"/>
    <n v="56"/>
    <n v="52"/>
  </r>
  <r>
    <x v="1"/>
    <x v="2"/>
    <x v="0"/>
    <n v="134"/>
    <x v="1"/>
    <x v="0"/>
    <n v="79"/>
    <n v="77"/>
    <n v="71"/>
  </r>
  <r>
    <x v="1"/>
    <x v="2"/>
    <x v="0"/>
    <n v="135"/>
    <x v="1"/>
    <x v="1"/>
    <n v="63"/>
    <n v="69"/>
    <n v="63"/>
  </r>
  <r>
    <x v="1"/>
    <x v="2"/>
    <x v="1"/>
    <n v="139"/>
    <x v="0"/>
    <x v="0"/>
    <n v="69"/>
    <n v="67"/>
    <n v="63"/>
  </r>
  <r>
    <x v="1"/>
    <x v="2"/>
    <x v="1"/>
    <n v="140"/>
    <x v="0"/>
    <x v="0"/>
    <n v="76"/>
    <n v="81"/>
    <n v="74"/>
  </r>
  <r>
    <x v="1"/>
    <x v="2"/>
    <x v="1"/>
    <n v="141"/>
    <x v="0"/>
    <x v="0"/>
    <n v="84"/>
    <n v="77"/>
    <n v="80"/>
  </r>
  <r>
    <x v="1"/>
    <x v="2"/>
    <x v="1"/>
    <n v="142"/>
    <x v="0"/>
    <x v="0"/>
    <n v="88"/>
    <n v="66"/>
    <n v="73"/>
  </r>
  <r>
    <x v="1"/>
    <x v="2"/>
    <x v="1"/>
    <n v="143"/>
    <x v="0"/>
    <x v="0"/>
    <n v="49"/>
    <n v="53"/>
    <n v="43"/>
  </r>
  <r>
    <x v="1"/>
    <x v="2"/>
    <x v="1"/>
    <n v="144"/>
    <x v="0"/>
    <x v="0"/>
    <n v="66"/>
    <n v="63"/>
    <n v="63"/>
  </r>
  <r>
    <x v="1"/>
    <x v="2"/>
    <x v="1"/>
    <n v="145"/>
    <x v="0"/>
    <x v="0"/>
    <n v="31"/>
    <n v="27"/>
    <n v="19"/>
  </r>
  <r>
    <x v="1"/>
    <x v="2"/>
    <x v="1"/>
    <n v="146"/>
    <x v="0"/>
    <x v="0"/>
    <n v="92"/>
    <n v="89"/>
    <n v="83"/>
  </r>
  <r>
    <x v="1"/>
    <x v="2"/>
    <x v="1"/>
    <n v="147"/>
    <x v="0"/>
    <x v="0"/>
    <n v="90"/>
    <n v="79"/>
    <n v="75"/>
  </r>
  <r>
    <x v="1"/>
    <x v="2"/>
    <x v="1"/>
    <n v="148"/>
    <x v="0"/>
    <x v="0"/>
    <n v="64"/>
    <n v="62"/>
    <n v="61"/>
  </r>
  <r>
    <x v="1"/>
    <x v="2"/>
    <x v="1"/>
    <n v="149"/>
    <x v="0"/>
    <x v="0"/>
    <n v="74"/>
    <n v="72"/>
    <n v="62"/>
  </r>
  <r>
    <x v="1"/>
    <x v="2"/>
    <x v="1"/>
    <n v="150"/>
    <x v="0"/>
    <x v="0"/>
    <n v="65"/>
    <n v="69"/>
    <n v="56"/>
  </r>
  <r>
    <x v="1"/>
    <x v="2"/>
    <x v="1"/>
    <n v="151"/>
    <x v="0"/>
    <x v="0"/>
    <n v="77"/>
    <n v="70"/>
    <n v="60"/>
  </r>
  <r>
    <x v="1"/>
    <x v="2"/>
    <x v="1"/>
    <n v="152"/>
    <x v="0"/>
    <x v="0"/>
    <n v="84"/>
    <n v="71"/>
    <n v="66"/>
  </r>
  <r>
    <x v="1"/>
    <x v="2"/>
    <x v="1"/>
    <n v="153"/>
    <x v="0"/>
    <x v="0"/>
    <n v="90"/>
    <n v="78"/>
    <n v="78"/>
  </r>
  <r>
    <x v="1"/>
    <x v="2"/>
    <x v="1"/>
    <n v="154"/>
    <x v="0"/>
    <x v="0"/>
    <n v="69"/>
    <n v="58"/>
    <n v="52"/>
  </r>
  <r>
    <x v="1"/>
    <x v="2"/>
    <x v="1"/>
    <n v="155"/>
    <x v="0"/>
    <x v="0"/>
    <n v="79"/>
    <n v="72"/>
    <n v="72"/>
  </r>
  <r>
    <x v="1"/>
    <x v="2"/>
    <x v="1"/>
    <n v="156"/>
    <x v="0"/>
    <x v="0"/>
    <n v="65"/>
    <n v="70"/>
    <n v="57"/>
  </r>
  <r>
    <x v="1"/>
    <x v="2"/>
    <x v="1"/>
    <n v="157"/>
    <x v="0"/>
    <x v="1"/>
    <n v="78"/>
    <n v="81"/>
    <n v="80"/>
  </r>
  <r>
    <x v="1"/>
    <x v="2"/>
    <x v="1"/>
    <n v="158"/>
    <x v="0"/>
    <x v="1"/>
    <n v="88"/>
    <n v="75"/>
    <n v="72"/>
  </r>
  <r>
    <x v="1"/>
    <x v="2"/>
    <x v="1"/>
    <n v="159"/>
    <x v="0"/>
    <x v="1"/>
    <n v="64"/>
    <n v="66"/>
    <n v="69"/>
  </r>
  <r>
    <x v="1"/>
    <x v="2"/>
    <x v="1"/>
    <n v="160"/>
    <x v="0"/>
    <x v="1"/>
    <n v="72"/>
    <n v="67"/>
    <n v="67"/>
  </r>
  <r>
    <x v="1"/>
    <x v="2"/>
    <x v="1"/>
    <n v="161"/>
    <x v="0"/>
    <x v="1"/>
    <n v="67"/>
    <n v="63"/>
    <n v="67"/>
  </r>
  <r>
    <x v="1"/>
    <x v="2"/>
    <x v="1"/>
    <n v="162"/>
    <x v="0"/>
    <x v="1"/>
    <n v="75"/>
    <n v="69"/>
    <n v="67"/>
  </r>
  <r>
    <x v="1"/>
    <x v="2"/>
    <x v="1"/>
    <n v="163"/>
    <x v="0"/>
    <x v="1"/>
    <n v="72"/>
    <n v="63"/>
    <n v="66"/>
  </r>
  <r>
    <x v="1"/>
    <x v="2"/>
    <x v="1"/>
    <n v="164"/>
    <x v="1"/>
    <x v="0"/>
    <n v="66"/>
    <n v="66"/>
    <n v="62"/>
  </r>
  <r>
    <x v="1"/>
    <x v="2"/>
    <x v="1"/>
    <n v="165"/>
    <x v="1"/>
    <x v="0"/>
    <n v="75"/>
    <n v="77"/>
    <n v="66"/>
  </r>
  <r>
    <x v="1"/>
    <x v="2"/>
    <x v="1"/>
    <n v="166"/>
    <x v="1"/>
    <x v="0"/>
    <n v="66"/>
    <n v="66"/>
    <n v="58"/>
  </r>
  <r>
    <x v="1"/>
    <x v="2"/>
    <x v="1"/>
    <n v="167"/>
    <x v="1"/>
    <x v="0"/>
    <n v="20"/>
    <n v="25"/>
    <n v="15"/>
  </r>
  <r>
    <x v="1"/>
    <x v="2"/>
    <x v="1"/>
    <n v="168"/>
    <x v="1"/>
    <x v="0"/>
    <n v="75"/>
    <n v="79"/>
    <n v="68"/>
  </r>
  <r>
    <x v="1"/>
    <x v="2"/>
    <x v="1"/>
    <n v="169"/>
    <x v="1"/>
    <x v="0"/>
    <n v="51"/>
    <n v="57"/>
    <n v="44"/>
  </r>
  <r>
    <x v="1"/>
    <x v="2"/>
    <x v="1"/>
    <n v="170"/>
    <x v="1"/>
    <x v="0"/>
    <n v="72"/>
    <n v="68"/>
    <n v="62"/>
  </r>
  <r>
    <x v="1"/>
    <x v="2"/>
    <x v="1"/>
    <n v="171"/>
    <x v="1"/>
    <x v="0"/>
    <n v="34"/>
    <n v="37"/>
    <n v="27"/>
  </r>
  <r>
    <x v="1"/>
    <x v="2"/>
    <x v="1"/>
    <n v="172"/>
    <x v="1"/>
    <x v="0"/>
    <n v="45"/>
    <n v="43"/>
    <n v="47"/>
  </r>
  <r>
    <x v="1"/>
    <x v="2"/>
    <x v="1"/>
    <n v="173"/>
    <x v="1"/>
    <x v="0"/>
    <n v="56"/>
    <n v="67"/>
    <n v="62"/>
  </r>
  <r>
    <x v="1"/>
    <x v="2"/>
    <x v="1"/>
    <n v="174"/>
    <x v="1"/>
    <x v="0"/>
    <n v="59"/>
    <n v="60"/>
    <n v="56"/>
  </r>
  <r>
    <x v="1"/>
    <x v="2"/>
    <x v="1"/>
    <n v="175"/>
    <x v="1"/>
    <x v="1"/>
    <n v="64"/>
    <n v="71"/>
    <n v="68"/>
  </r>
  <r>
    <x v="1"/>
    <x v="2"/>
    <x v="1"/>
    <n v="176"/>
    <x v="1"/>
    <x v="1"/>
    <n v="54"/>
    <n v="53"/>
    <n v="51"/>
  </r>
  <r>
    <x v="1"/>
    <x v="2"/>
    <x v="1"/>
    <n v="177"/>
    <x v="1"/>
    <x v="1"/>
    <n v="41"/>
    <n v="57"/>
    <n v="55"/>
  </r>
  <r>
    <x v="1"/>
    <x v="2"/>
    <x v="1"/>
    <n v="178"/>
    <x v="1"/>
    <x v="1"/>
    <n v="77"/>
    <n v="80"/>
    <n v="74"/>
  </r>
  <r>
    <x v="1"/>
    <x v="2"/>
    <x v="2"/>
    <n v="130"/>
    <x v="0"/>
    <x v="0"/>
    <n v="88"/>
    <n v="80"/>
    <n v="81"/>
  </r>
  <r>
    <x v="1"/>
    <x v="2"/>
    <x v="2"/>
    <n v="131"/>
    <x v="0"/>
    <x v="0"/>
    <n v="49"/>
    <n v="53"/>
    <n v="47"/>
  </r>
  <r>
    <x v="1"/>
    <x v="2"/>
    <x v="2"/>
    <n v="132"/>
    <x v="0"/>
    <x v="0"/>
    <n v="65"/>
    <n v="63"/>
    <n v="57"/>
  </r>
  <r>
    <x v="1"/>
    <x v="2"/>
    <x v="2"/>
    <n v="133"/>
    <x v="0"/>
    <x v="0"/>
    <n v="91"/>
    <n v="84"/>
    <n v="77"/>
  </r>
  <r>
    <x v="1"/>
    <x v="2"/>
    <x v="2"/>
    <n v="134"/>
    <x v="0"/>
    <x v="0"/>
    <n v="50"/>
    <n v="42"/>
    <n v="35"/>
  </r>
  <r>
    <x v="1"/>
    <x v="2"/>
    <x v="2"/>
    <n v="135"/>
    <x v="0"/>
    <x v="0"/>
    <n v="76"/>
    <n v="61"/>
    <n v="62"/>
  </r>
  <r>
    <x v="1"/>
    <x v="2"/>
    <x v="2"/>
    <n v="136"/>
    <x v="0"/>
    <x v="0"/>
    <n v="81"/>
    <n v="77"/>
    <n v="71"/>
  </r>
  <r>
    <x v="1"/>
    <x v="2"/>
    <x v="2"/>
    <n v="137"/>
    <x v="0"/>
    <x v="0"/>
    <n v="80"/>
    <n v="76"/>
    <n v="74"/>
  </r>
  <r>
    <x v="1"/>
    <x v="2"/>
    <x v="2"/>
    <n v="138"/>
    <x v="0"/>
    <x v="0"/>
    <n v="76"/>
    <n v="72"/>
    <n v="73"/>
  </r>
  <r>
    <x v="1"/>
    <x v="2"/>
    <x v="2"/>
    <n v="139"/>
    <x v="0"/>
    <x v="0"/>
    <n v="76"/>
    <n v="74"/>
    <n v="67"/>
  </r>
  <r>
    <x v="1"/>
    <x v="2"/>
    <x v="2"/>
    <n v="140"/>
    <x v="0"/>
    <x v="1"/>
    <n v="76"/>
    <n v="82"/>
    <n v="77"/>
  </r>
  <r>
    <x v="1"/>
    <x v="2"/>
    <x v="2"/>
    <n v="141"/>
    <x v="1"/>
    <x v="0"/>
    <n v="57"/>
    <n v="58"/>
    <n v="51"/>
  </r>
  <r>
    <x v="1"/>
    <x v="2"/>
    <x v="2"/>
    <n v="142"/>
    <x v="1"/>
    <x v="0"/>
    <n v="72"/>
    <n v="80"/>
    <n v="75"/>
  </r>
  <r>
    <x v="1"/>
    <x v="2"/>
    <x v="2"/>
    <n v="143"/>
    <x v="1"/>
    <x v="0"/>
    <n v="73"/>
    <n v="66"/>
    <n v="68"/>
  </r>
  <r>
    <x v="1"/>
    <x v="2"/>
    <x v="2"/>
    <n v="144"/>
    <x v="1"/>
    <x v="0"/>
    <n v="39"/>
    <n v="44"/>
    <n v="36"/>
  </r>
  <r>
    <x v="1"/>
    <x v="2"/>
    <x v="2"/>
    <n v="145"/>
    <x v="1"/>
    <x v="0"/>
    <n v="62"/>
    <n v="55"/>
    <n v="50"/>
  </r>
  <r>
    <x v="1"/>
    <x v="2"/>
    <x v="2"/>
    <n v="146"/>
    <x v="1"/>
    <x v="0"/>
    <n v="82"/>
    <n v="86"/>
    <n v="78"/>
  </r>
  <r>
    <x v="1"/>
    <x v="2"/>
    <x v="2"/>
    <n v="147"/>
    <x v="1"/>
    <x v="0"/>
    <n v="82"/>
    <n v="73"/>
    <n v="74"/>
  </r>
  <r>
    <x v="1"/>
    <x v="2"/>
    <x v="2"/>
    <n v="148"/>
    <x v="1"/>
    <x v="0"/>
    <n v="59"/>
    <n v="64"/>
    <n v="60"/>
  </r>
  <r>
    <x v="1"/>
    <x v="2"/>
    <x v="2"/>
    <n v="149"/>
    <x v="1"/>
    <x v="1"/>
    <n v="74"/>
    <n v="85"/>
    <n v="87"/>
  </r>
  <r>
    <x v="1"/>
    <x v="2"/>
    <x v="2"/>
    <n v="150"/>
    <x v="1"/>
    <x v="1"/>
    <n v="46"/>
    <n v="46"/>
    <n v="48"/>
  </r>
  <r>
    <x v="1"/>
    <x v="2"/>
    <x v="2"/>
    <n v="151"/>
    <x v="1"/>
    <x v="1"/>
    <n v="72"/>
    <n v="67"/>
    <n v="61"/>
  </r>
  <r>
    <x v="1"/>
    <x v="2"/>
    <x v="2"/>
    <n v="152"/>
    <x v="1"/>
    <x v="1"/>
    <n v="61"/>
    <n v="58"/>
    <n v="56"/>
  </r>
  <r>
    <x v="1"/>
    <x v="2"/>
    <x v="2"/>
    <n v="153"/>
    <x v="1"/>
    <x v="1"/>
    <n v="87"/>
    <n v="82"/>
    <n v="79"/>
  </r>
  <r>
    <x v="1"/>
    <x v="2"/>
    <x v="2"/>
    <n v="154"/>
    <x v="1"/>
    <x v="1"/>
    <n v="61"/>
    <n v="69"/>
    <n v="62"/>
  </r>
  <r>
    <x v="1"/>
    <x v="2"/>
    <x v="2"/>
    <n v="155"/>
    <x v="1"/>
    <x v="1"/>
    <n v="60"/>
    <n v="57"/>
    <n v="61"/>
  </r>
  <r>
    <x v="1"/>
    <x v="2"/>
    <x v="2"/>
    <n v="156"/>
    <x v="1"/>
    <x v="1"/>
    <n v="59"/>
    <n v="68"/>
    <n v="66"/>
  </r>
  <r>
    <x v="1"/>
    <x v="2"/>
    <x v="2"/>
    <n v="157"/>
    <x v="1"/>
    <x v="1"/>
    <n v="47"/>
    <n v="49"/>
    <n v="49"/>
  </r>
  <r>
    <x v="1"/>
    <x v="2"/>
    <x v="3"/>
    <n v="135"/>
    <x v="0"/>
    <x v="0"/>
    <n v="55"/>
    <n v="61"/>
    <n v="59"/>
  </r>
  <r>
    <x v="1"/>
    <x v="2"/>
    <x v="3"/>
    <n v="136"/>
    <x v="0"/>
    <x v="0"/>
    <n v="43"/>
    <n v="51"/>
    <n v="38"/>
  </r>
  <r>
    <x v="1"/>
    <x v="2"/>
    <x v="3"/>
    <n v="137"/>
    <x v="0"/>
    <x v="0"/>
    <n v="81"/>
    <n v="65"/>
    <n v="60"/>
  </r>
  <r>
    <x v="1"/>
    <x v="2"/>
    <x v="3"/>
    <n v="138"/>
    <x v="0"/>
    <x v="0"/>
    <n v="65"/>
    <n v="64"/>
    <n v="61"/>
  </r>
  <r>
    <x v="1"/>
    <x v="2"/>
    <x v="3"/>
    <n v="139"/>
    <x v="0"/>
    <x v="0"/>
    <n v="50"/>
    <n v="40"/>
    <n v="44"/>
  </r>
  <r>
    <x v="1"/>
    <x v="2"/>
    <x v="3"/>
    <n v="140"/>
    <x v="0"/>
    <x v="0"/>
    <n v="51"/>
    <n v="56"/>
    <n v="53"/>
  </r>
  <r>
    <x v="1"/>
    <x v="2"/>
    <x v="3"/>
    <n v="141"/>
    <x v="0"/>
    <x v="0"/>
    <n v="86"/>
    <n v="82"/>
    <n v="72"/>
  </r>
  <r>
    <x v="1"/>
    <x v="2"/>
    <x v="3"/>
    <n v="142"/>
    <x v="0"/>
    <x v="0"/>
    <n v="72"/>
    <n v="76"/>
    <n v="64"/>
  </r>
  <r>
    <x v="1"/>
    <x v="2"/>
    <x v="3"/>
    <n v="143"/>
    <x v="0"/>
    <x v="0"/>
    <n v="90"/>
    <n v="76"/>
    <n v="71"/>
  </r>
  <r>
    <x v="1"/>
    <x v="2"/>
    <x v="3"/>
    <n v="144"/>
    <x v="0"/>
    <x v="0"/>
    <n v="76"/>
    <n v="74"/>
    <n v="73"/>
  </r>
  <r>
    <x v="1"/>
    <x v="2"/>
    <x v="3"/>
    <n v="145"/>
    <x v="0"/>
    <x v="0"/>
    <n v="66"/>
    <n v="68"/>
    <n v="62"/>
  </r>
  <r>
    <x v="1"/>
    <x v="2"/>
    <x v="3"/>
    <n v="146"/>
    <x v="0"/>
    <x v="0"/>
    <n v="55"/>
    <n v="65"/>
    <n v="57"/>
  </r>
  <r>
    <x v="1"/>
    <x v="2"/>
    <x v="3"/>
    <n v="147"/>
    <x v="0"/>
    <x v="0"/>
    <n v="79"/>
    <n v="76"/>
    <n v="69"/>
  </r>
  <r>
    <x v="1"/>
    <x v="2"/>
    <x v="3"/>
    <n v="148"/>
    <x v="0"/>
    <x v="0"/>
    <n v="80"/>
    <n v="79"/>
    <n v="74"/>
  </r>
  <r>
    <x v="1"/>
    <x v="2"/>
    <x v="3"/>
    <n v="149"/>
    <x v="0"/>
    <x v="0"/>
    <n v="55"/>
    <n v="48"/>
    <n v="46"/>
  </r>
  <r>
    <x v="1"/>
    <x v="2"/>
    <x v="3"/>
    <n v="150"/>
    <x v="0"/>
    <x v="0"/>
    <n v="68"/>
    <n v="58"/>
    <n v="54"/>
  </r>
  <r>
    <x v="1"/>
    <x v="2"/>
    <x v="3"/>
    <n v="151"/>
    <x v="0"/>
    <x v="0"/>
    <n v="76"/>
    <n v="65"/>
    <n v="58"/>
  </r>
  <r>
    <x v="1"/>
    <x v="2"/>
    <x v="3"/>
    <n v="152"/>
    <x v="0"/>
    <x v="0"/>
    <n v="77"/>
    <n v="77"/>
    <n v="71"/>
  </r>
  <r>
    <x v="1"/>
    <x v="2"/>
    <x v="3"/>
    <n v="153"/>
    <x v="0"/>
    <x v="0"/>
    <n v="80"/>
    <n v="66"/>
    <n v="66"/>
  </r>
  <r>
    <x v="1"/>
    <x v="2"/>
    <x v="3"/>
    <n v="154"/>
    <x v="0"/>
    <x v="1"/>
    <n v="80"/>
    <n v="76"/>
    <n v="68"/>
  </r>
  <r>
    <x v="1"/>
    <x v="2"/>
    <x v="3"/>
    <n v="155"/>
    <x v="0"/>
    <x v="1"/>
    <n v="73"/>
    <n v="77"/>
    <n v="76"/>
  </r>
  <r>
    <x v="1"/>
    <x v="2"/>
    <x v="3"/>
    <n v="156"/>
    <x v="0"/>
    <x v="1"/>
    <n v="82"/>
    <n v="89"/>
    <n v="86"/>
  </r>
  <r>
    <x v="1"/>
    <x v="2"/>
    <x v="3"/>
    <n v="157"/>
    <x v="0"/>
    <x v="1"/>
    <n v="95"/>
    <n v="85"/>
    <n v="80"/>
  </r>
  <r>
    <x v="1"/>
    <x v="2"/>
    <x v="3"/>
    <n v="158"/>
    <x v="0"/>
    <x v="1"/>
    <n v="72"/>
    <n v="56"/>
    <n v="63"/>
  </r>
  <r>
    <x v="1"/>
    <x v="2"/>
    <x v="3"/>
    <n v="159"/>
    <x v="0"/>
    <x v="1"/>
    <n v="48"/>
    <n v="38"/>
    <n v="46"/>
  </r>
  <r>
    <x v="1"/>
    <x v="2"/>
    <x v="3"/>
    <n v="160"/>
    <x v="0"/>
    <x v="1"/>
    <n v="71"/>
    <n v="66"/>
    <n v="70"/>
  </r>
  <r>
    <x v="1"/>
    <x v="2"/>
    <x v="3"/>
    <n v="161"/>
    <x v="0"/>
    <x v="1"/>
    <n v="77"/>
    <n v="80"/>
    <n v="85"/>
  </r>
  <r>
    <x v="1"/>
    <x v="2"/>
    <x v="3"/>
    <n v="162"/>
    <x v="1"/>
    <x v="0"/>
    <n v="83"/>
    <n v="62"/>
    <n v="64"/>
  </r>
  <r>
    <x v="1"/>
    <x v="2"/>
    <x v="3"/>
    <n v="163"/>
    <x v="1"/>
    <x v="0"/>
    <n v="56"/>
    <n v="57"/>
    <n v="62"/>
  </r>
  <r>
    <x v="1"/>
    <x v="2"/>
    <x v="3"/>
    <n v="164"/>
    <x v="1"/>
    <x v="0"/>
    <n v="65"/>
    <n v="77"/>
    <n v="70"/>
  </r>
  <r>
    <x v="1"/>
    <x v="2"/>
    <x v="3"/>
    <n v="165"/>
    <x v="1"/>
    <x v="0"/>
    <n v="57"/>
    <n v="60"/>
    <n v="57"/>
  </r>
  <r>
    <x v="1"/>
    <x v="2"/>
    <x v="3"/>
    <n v="166"/>
    <x v="1"/>
    <x v="0"/>
    <n v="76"/>
    <n v="72"/>
    <n v="65"/>
  </r>
  <r>
    <x v="1"/>
    <x v="2"/>
    <x v="3"/>
    <n v="167"/>
    <x v="1"/>
    <x v="0"/>
    <n v="33"/>
    <n v="42"/>
    <n v="41"/>
  </r>
  <r>
    <x v="1"/>
    <x v="2"/>
    <x v="3"/>
    <n v="168"/>
    <x v="1"/>
    <x v="0"/>
    <n v="51"/>
    <n v="54"/>
    <n v="51"/>
  </r>
  <r>
    <x v="1"/>
    <x v="2"/>
    <x v="3"/>
    <n v="169"/>
    <x v="1"/>
    <x v="0"/>
    <n v="60"/>
    <n v="67"/>
    <n v="61"/>
  </r>
  <r>
    <x v="1"/>
    <x v="2"/>
    <x v="3"/>
    <n v="170"/>
    <x v="1"/>
    <x v="0"/>
    <n v="71"/>
    <n v="74"/>
    <n v="73"/>
  </r>
  <r>
    <x v="1"/>
    <x v="2"/>
    <x v="3"/>
    <n v="171"/>
    <x v="1"/>
    <x v="0"/>
    <n v="62"/>
    <n v="65"/>
    <n v="61"/>
  </r>
  <r>
    <x v="1"/>
    <x v="2"/>
    <x v="3"/>
    <n v="172"/>
    <x v="1"/>
    <x v="1"/>
    <n v="70"/>
    <n v="75"/>
    <n v="74"/>
  </r>
  <r>
    <x v="1"/>
    <x v="2"/>
    <x v="3"/>
    <n v="173"/>
    <x v="1"/>
    <x v="1"/>
    <n v="59"/>
    <n v="69"/>
    <n v="63"/>
  </r>
  <r>
    <x v="1"/>
    <x v="2"/>
    <x v="3"/>
    <n v="174"/>
    <x v="1"/>
    <x v="1"/>
    <n v="62"/>
    <n v="72"/>
    <n v="67"/>
  </r>
  <r>
    <x v="1"/>
    <x v="2"/>
    <x v="3"/>
    <n v="175"/>
    <x v="1"/>
    <x v="1"/>
    <n v="70"/>
    <n v="66"/>
    <n v="68"/>
  </r>
  <r>
    <x v="1"/>
    <x v="2"/>
    <x v="3"/>
    <n v="176"/>
    <x v="1"/>
    <x v="1"/>
    <n v="65"/>
    <n v="62"/>
    <n v="63"/>
  </r>
  <r>
    <x v="1"/>
    <x v="2"/>
    <x v="4"/>
    <n v="67"/>
    <x v="0"/>
    <x v="0"/>
    <n v="63"/>
    <n v="71"/>
    <n v="65"/>
  </r>
  <r>
    <x v="1"/>
    <x v="2"/>
    <x v="4"/>
    <n v="68"/>
    <x v="0"/>
    <x v="0"/>
    <n v="64"/>
    <n v="62"/>
    <n v="58"/>
  </r>
  <r>
    <x v="1"/>
    <x v="2"/>
    <x v="4"/>
    <n v="69"/>
    <x v="0"/>
    <x v="0"/>
    <n v="59"/>
    <n v="50"/>
    <n v="53"/>
  </r>
  <r>
    <x v="1"/>
    <x v="2"/>
    <x v="4"/>
    <n v="70"/>
    <x v="0"/>
    <x v="0"/>
    <n v="91"/>
    <n v="83"/>
    <n v="82"/>
  </r>
  <r>
    <x v="1"/>
    <x v="2"/>
    <x v="4"/>
    <n v="71"/>
    <x v="0"/>
    <x v="0"/>
    <n v="77"/>
    <n v="65"/>
    <n v="69"/>
  </r>
  <r>
    <x v="1"/>
    <x v="2"/>
    <x v="4"/>
    <n v="72"/>
    <x v="0"/>
    <x v="0"/>
    <n v="75"/>
    <n v="71"/>
    <n v="76"/>
  </r>
  <r>
    <x v="1"/>
    <x v="2"/>
    <x v="4"/>
    <n v="73"/>
    <x v="0"/>
    <x v="0"/>
    <n v="73"/>
    <n v="67"/>
    <n v="73"/>
  </r>
  <r>
    <x v="1"/>
    <x v="2"/>
    <x v="4"/>
    <n v="74"/>
    <x v="0"/>
    <x v="0"/>
    <n v="70"/>
    <n v="49"/>
    <n v="53"/>
  </r>
  <r>
    <x v="1"/>
    <x v="2"/>
    <x v="4"/>
    <n v="75"/>
    <x v="0"/>
    <x v="0"/>
    <n v="74"/>
    <n v="61"/>
    <n v="68"/>
  </r>
  <r>
    <x v="1"/>
    <x v="2"/>
    <x v="4"/>
    <n v="76"/>
    <x v="0"/>
    <x v="0"/>
    <n v="68"/>
    <n v="56"/>
    <n v="57"/>
  </r>
  <r>
    <x v="1"/>
    <x v="2"/>
    <x v="4"/>
    <n v="77"/>
    <x v="0"/>
    <x v="1"/>
    <n v="75"/>
    <n v="62"/>
    <n v="65"/>
  </r>
  <r>
    <x v="1"/>
    <x v="2"/>
    <x v="4"/>
    <n v="78"/>
    <x v="0"/>
    <x v="1"/>
    <n v="62"/>
    <n v="67"/>
    <n v="68"/>
  </r>
  <r>
    <x v="1"/>
    <x v="2"/>
    <x v="4"/>
    <n v="79"/>
    <x v="0"/>
    <x v="1"/>
    <n v="86"/>
    <n v="77"/>
    <n v="80"/>
  </r>
  <r>
    <x v="1"/>
    <x v="2"/>
    <x v="4"/>
    <n v="80"/>
    <x v="1"/>
    <x v="0"/>
    <n v="51"/>
    <n v="53"/>
    <n v="51"/>
  </r>
  <r>
    <x v="1"/>
    <x v="2"/>
    <x v="4"/>
    <n v="81"/>
    <x v="1"/>
    <x v="0"/>
    <n v="65"/>
    <n v="61"/>
    <n v="57"/>
  </r>
  <r>
    <x v="1"/>
    <x v="2"/>
    <x v="4"/>
    <n v="82"/>
    <x v="1"/>
    <x v="0"/>
    <n v="73"/>
    <n v="69"/>
    <n v="70"/>
  </r>
  <r>
    <x v="1"/>
    <x v="2"/>
    <x v="4"/>
    <n v="83"/>
    <x v="1"/>
    <x v="0"/>
    <n v="47"/>
    <n v="53"/>
    <n v="42"/>
  </r>
  <r>
    <x v="1"/>
    <x v="2"/>
    <x v="4"/>
    <n v="84"/>
    <x v="1"/>
    <x v="0"/>
    <n v="58"/>
    <n v="66"/>
    <n v="67"/>
  </r>
  <r>
    <x v="1"/>
    <x v="2"/>
    <x v="4"/>
    <n v="85"/>
    <x v="1"/>
    <x v="1"/>
    <n v="57"/>
    <n v="65"/>
    <n v="56"/>
  </r>
  <r>
    <x v="1"/>
    <x v="2"/>
    <x v="4"/>
    <n v="86"/>
    <x v="1"/>
    <x v="1"/>
    <n v="72"/>
    <n v="70"/>
    <n v="70"/>
  </r>
  <r>
    <x v="1"/>
    <x v="2"/>
    <x v="5"/>
    <n v="46"/>
    <x v="0"/>
    <x v="0"/>
    <n v="85"/>
    <n v="81"/>
    <n v="80"/>
  </r>
  <r>
    <x v="1"/>
    <x v="2"/>
    <x v="5"/>
    <n v="47"/>
    <x v="0"/>
    <x v="0"/>
    <n v="80"/>
    <n v="79"/>
    <n v="73"/>
  </r>
  <r>
    <x v="1"/>
    <x v="2"/>
    <x v="5"/>
    <n v="48"/>
    <x v="0"/>
    <x v="0"/>
    <n v="68"/>
    <n v="56"/>
    <n v="57"/>
  </r>
  <r>
    <x v="1"/>
    <x v="2"/>
    <x v="5"/>
    <n v="49"/>
    <x v="0"/>
    <x v="0"/>
    <n v="93"/>
    <n v="78"/>
    <n v="77"/>
  </r>
  <r>
    <x v="1"/>
    <x v="2"/>
    <x v="5"/>
    <n v="50"/>
    <x v="0"/>
    <x v="0"/>
    <n v="81"/>
    <n v="80"/>
    <n v="73"/>
  </r>
  <r>
    <x v="1"/>
    <x v="2"/>
    <x v="5"/>
    <n v="51"/>
    <x v="0"/>
    <x v="1"/>
    <n v="79"/>
    <n v="72"/>
    <n v="74"/>
  </r>
  <r>
    <x v="1"/>
    <x v="2"/>
    <x v="5"/>
    <n v="52"/>
    <x v="1"/>
    <x v="0"/>
    <n v="55"/>
    <n v="54"/>
    <n v="52"/>
  </r>
  <r>
    <x v="1"/>
    <x v="2"/>
    <x v="5"/>
    <n v="53"/>
    <x v="1"/>
    <x v="0"/>
    <n v="82"/>
    <n v="69"/>
    <n v="76"/>
  </r>
  <r>
    <x v="1"/>
    <x v="2"/>
    <x v="5"/>
    <n v="54"/>
    <x v="1"/>
    <x v="0"/>
    <n v="57"/>
    <n v="54"/>
    <n v="48"/>
  </r>
  <r>
    <x v="1"/>
    <x v="2"/>
    <x v="5"/>
    <n v="55"/>
    <x v="1"/>
    <x v="0"/>
    <n v="45"/>
    <n v="53"/>
    <n v="45"/>
  </r>
  <r>
    <x v="1"/>
    <x v="2"/>
    <x v="5"/>
    <n v="56"/>
    <x v="1"/>
    <x v="1"/>
    <n v="57"/>
    <n v="64"/>
    <n v="66"/>
  </r>
  <r>
    <x v="1"/>
    <x v="3"/>
    <x v="0"/>
    <n v="136"/>
    <x v="0"/>
    <x v="0"/>
    <n v="70"/>
    <n v="66"/>
    <n v="59"/>
  </r>
  <r>
    <x v="1"/>
    <x v="3"/>
    <x v="0"/>
    <n v="137"/>
    <x v="0"/>
    <x v="0"/>
    <n v="90"/>
    <n v="93"/>
    <n v="84"/>
  </r>
  <r>
    <x v="1"/>
    <x v="3"/>
    <x v="0"/>
    <n v="138"/>
    <x v="0"/>
    <x v="0"/>
    <n v="82"/>
    <n v="77"/>
    <n v="72"/>
  </r>
  <r>
    <x v="1"/>
    <x v="3"/>
    <x v="0"/>
    <n v="139"/>
    <x v="0"/>
    <x v="0"/>
    <n v="69"/>
    <n v="56"/>
    <n v="59"/>
  </r>
  <r>
    <x v="1"/>
    <x v="3"/>
    <x v="0"/>
    <n v="140"/>
    <x v="0"/>
    <x v="0"/>
    <n v="73"/>
    <n v="67"/>
    <n v="64"/>
  </r>
  <r>
    <x v="1"/>
    <x v="3"/>
    <x v="0"/>
    <n v="141"/>
    <x v="0"/>
    <x v="0"/>
    <n v="55"/>
    <n v="50"/>
    <n v="47"/>
  </r>
  <r>
    <x v="1"/>
    <x v="3"/>
    <x v="0"/>
    <n v="142"/>
    <x v="0"/>
    <x v="0"/>
    <n v="59"/>
    <n v="48"/>
    <n v="48"/>
  </r>
  <r>
    <x v="1"/>
    <x v="3"/>
    <x v="0"/>
    <n v="143"/>
    <x v="0"/>
    <x v="0"/>
    <n v="80"/>
    <n v="80"/>
    <n v="79"/>
  </r>
  <r>
    <x v="1"/>
    <x v="3"/>
    <x v="0"/>
    <n v="144"/>
    <x v="0"/>
    <x v="0"/>
    <n v="82"/>
    <n v="70"/>
    <n v="67"/>
  </r>
  <r>
    <x v="1"/>
    <x v="3"/>
    <x v="0"/>
    <n v="145"/>
    <x v="0"/>
    <x v="0"/>
    <n v="90"/>
    <n v="72"/>
    <n v="79"/>
  </r>
  <r>
    <x v="1"/>
    <x v="3"/>
    <x v="0"/>
    <n v="146"/>
    <x v="0"/>
    <x v="0"/>
    <n v="67"/>
    <n v="59"/>
    <n v="59"/>
  </r>
  <r>
    <x v="1"/>
    <x v="3"/>
    <x v="0"/>
    <n v="147"/>
    <x v="0"/>
    <x v="0"/>
    <n v="68"/>
    <n v="53"/>
    <n v="53"/>
  </r>
  <r>
    <x v="1"/>
    <x v="3"/>
    <x v="0"/>
    <n v="148"/>
    <x v="0"/>
    <x v="0"/>
    <n v="51"/>
    <n v="53"/>
    <n v="45"/>
  </r>
  <r>
    <x v="1"/>
    <x v="3"/>
    <x v="0"/>
    <n v="149"/>
    <x v="0"/>
    <x v="0"/>
    <n v="83"/>
    <n v="74"/>
    <n v="80"/>
  </r>
  <r>
    <x v="1"/>
    <x v="3"/>
    <x v="0"/>
    <n v="150"/>
    <x v="0"/>
    <x v="1"/>
    <n v="80"/>
    <n v="77"/>
    <n v="80"/>
  </r>
  <r>
    <x v="1"/>
    <x v="3"/>
    <x v="0"/>
    <n v="151"/>
    <x v="0"/>
    <x v="1"/>
    <n v="82"/>
    <n v="74"/>
    <n v="75"/>
  </r>
  <r>
    <x v="1"/>
    <x v="3"/>
    <x v="0"/>
    <n v="152"/>
    <x v="0"/>
    <x v="1"/>
    <n v="60"/>
    <n v="57"/>
    <n v="60"/>
  </r>
  <r>
    <x v="1"/>
    <x v="3"/>
    <x v="0"/>
    <n v="153"/>
    <x v="0"/>
    <x v="1"/>
    <n v="56"/>
    <n v="48"/>
    <n v="54"/>
  </r>
  <r>
    <x v="1"/>
    <x v="3"/>
    <x v="0"/>
    <n v="154"/>
    <x v="0"/>
    <x v="1"/>
    <n v="100"/>
    <n v="84"/>
    <n v="87"/>
  </r>
  <r>
    <x v="1"/>
    <x v="3"/>
    <x v="0"/>
    <n v="155"/>
    <x v="0"/>
    <x v="1"/>
    <n v="70"/>
    <n v="66"/>
    <n v="72"/>
  </r>
  <r>
    <x v="1"/>
    <x v="3"/>
    <x v="0"/>
    <n v="156"/>
    <x v="0"/>
    <x v="1"/>
    <n v="74"/>
    <n v="78"/>
    <n v="78"/>
  </r>
  <r>
    <x v="1"/>
    <x v="3"/>
    <x v="0"/>
    <n v="157"/>
    <x v="0"/>
    <x v="1"/>
    <n v="76"/>
    <n v="78"/>
    <n v="79"/>
  </r>
  <r>
    <x v="1"/>
    <x v="3"/>
    <x v="0"/>
    <n v="158"/>
    <x v="1"/>
    <x v="0"/>
    <n v="49"/>
    <n v="49"/>
    <n v="43"/>
  </r>
  <r>
    <x v="1"/>
    <x v="3"/>
    <x v="0"/>
    <n v="159"/>
    <x v="1"/>
    <x v="0"/>
    <n v="67"/>
    <n v="63"/>
    <n v="63"/>
  </r>
  <r>
    <x v="1"/>
    <x v="3"/>
    <x v="0"/>
    <n v="160"/>
    <x v="1"/>
    <x v="1"/>
    <n v="47"/>
    <n v="46"/>
    <n v="51"/>
  </r>
  <r>
    <x v="1"/>
    <x v="3"/>
    <x v="0"/>
    <n v="161"/>
    <x v="1"/>
    <x v="1"/>
    <n v="58"/>
    <n v="57"/>
    <n v="53"/>
  </r>
  <r>
    <x v="1"/>
    <x v="3"/>
    <x v="0"/>
    <n v="162"/>
    <x v="1"/>
    <x v="1"/>
    <n v="40"/>
    <n v="50"/>
    <n v="47"/>
  </r>
  <r>
    <x v="1"/>
    <x v="3"/>
    <x v="0"/>
    <n v="163"/>
    <x v="1"/>
    <x v="1"/>
    <n v="69"/>
    <n v="70"/>
    <n v="75"/>
  </r>
  <r>
    <x v="1"/>
    <x v="3"/>
    <x v="0"/>
    <n v="164"/>
    <x v="1"/>
    <x v="1"/>
    <n v="46"/>
    <n v="53"/>
    <n v="54"/>
  </r>
  <r>
    <x v="1"/>
    <x v="3"/>
    <x v="0"/>
    <n v="165"/>
    <x v="1"/>
    <x v="1"/>
    <n v="35"/>
    <n v="56"/>
    <n v="54"/>
  </r>
  <r>
    <x v="1"/>
    <x v="3"/>
    <x v="1"/>
    <n v="179"/>
    <x v="0"/>
    <x v="0"/>
    <n v="88"/>
    <n v="72"/>
    <n v="74"/>
  </r>
  <r>
    <x v="1"/>
    <x v="3"/>
    <x v="1"/>
    <n v="180"/>
    <x v="0"/>
    <x v="0"/>
    <n v="60"/>
    <n v="54"/>
    <n v="47"/>
  </r>
  <r>
    <x v="1"/>
    <x v="3"/>
    <x v="1"/>
    <n v="181"/>
    <x v="0"/>
    <x v="0"/>
    <n v="83"/>
    <n v="78"/>
    <n v="74"/>
  </r>
  <r>
    <x v="1"/>
    <x v="3"/>
    <x v="1"/>
    <n v="182"/>
    <x v="0"/>
    <x v="0"/>
    <n v="67"/>
    <n v="65"/>
    <n v="59"/>
  </r>
  <r>
    <x v="1"/>
    <x v="3"/>
    <x v="1"/>
    <n v="183"/>
    <x v="0"/>
    <x v="0"/>
    <n v="81"/>
    <n v="62"/>
    <n v="61"/>
  </r>
  <r>
    <x v="1"/>
    <x v="3"/>
    <x v="1"/>
    <n v="184"/>
    <x v="0"/>
    <x v="0"/>
    <n v="85"/>
    <n v="81"/>
    <n v="83"/>
  </r>
  <r>
    <x v="1"/>
    <x v="3"/>
    <x v="1"/>
    <n v="185"/>
    <x v="0"/>
    <x v="0"/>
    <n v="58"/>
    <n v="47"/>
    <n v="45"/>
  </r>
  <r>
    <x v="1"/>
    <x v="3"/>
    <x v="1"/>
    <n v="186"/>
    <x v="0"/>
    <x v="1"/>
    <n v="82"/>
    <n v="82"/>
    <n v="82"/>
  </r>
  <r>
    <x v="1"/>
    <x v="3"/>
    <x v="1"/>
    <n v="187"/>
    <x v="0"/>
    <x v="1"/>
    <n v="81"/>
    <n v="74"/>
    <n v="79"/>
  </r>
  <r>
    <x v="1"/>
    <x v="3"/>
    <x v="1"/>
    <n v="188"/>
    <x v="0"/>
    <x v="1"/>
    <n v="62"/>
    <n v="69"/>
    <n v="67"/>
  </r>
  <r>
    <x v="1"/>
    <x v="3"/>
    <x v="1"/>
    <n v="189"/>
    <x v="0"/>
    <x v="1"/>
    <n v="65"/>
    <n v="60"/>
    <n v="57"/>
  </r>
  <r>
    <x v="1"/>
    <x v="3"/>
    <x v="1"/>
    <n v="190"/>
    <x v="0"/>
    <x v="1"/>
    <n v="72"/>
    <n v="69"/>
    <n v="74"/>
  </r>
  <r>
    <x v="1"/>
    <x v="3"/>
    <x v="1"/>
    <n v="191"/>
    <x v="0"/>
    <x v="1"/>
    <n v="88"/>
    <n v="77"/>
    <n v="78"/>
  </r>
  <r>
    <x v="1"/>
    <x v="3"/>
    <x v="1"/>
    <n v="192"/>
    <x v="0"/>
    <x v="1"/>
    <n v="76"/>
    <n v="75"/>
    <n v="77"/>
  </r>
  <r>
    <x v="1"/>
    <x v="3"/>
    <x v="1"/>
    <n v="193"/>
    <x v="0"/>
    <x v="1"/>
    <n v="78"/>
    <n v="76"/>
    <n v="80"/>
  </r>
  <r>
    <x v="1"/>
    <x v="3"/>
    <x v="1"/>
    <n v="194"/>
    <x v="0"/>
    <x v="1"/>
    <n v="70"/>
    <n v="72"/>
    <n v="67"/>
  </r>
  <r>
    <x v="1"/>
    <x v="3"/>
    <x v="1"/>
    <n v="195"/>
    <x v="1"/>
    <x v="0"/>
    <n v="58"/>
    <n v="52"/>
    <n v="51"/>
  </r>
  <r>
    <x v="1"/>
    <x v="3"/>
    <x v="1"/>
    <n v="196"/>
    <x v="1"/>
    <x v="0"/>
    <n v="54"/>
    <n v="53"/>
    <n v="47"/>
  </r>
  <r>
    <x v="1"/>
    <x v="3"/>
    <x v="1"/>
    <n v="197"/>
    <x v="1"/>
    <x v="0"/>
    <n v="48"/>
    <n v="46"/>
    <n v="50"/>
  </r>
  <r>
    <x v="1"/>
    <x v="3"/>
    <x v="1"/>
    <n v="198"/>
    <x v="1"/>
    <x v="0"/>
    <n v="54"/>
    <n v="49"/>
    <n v="48"/>
  </r>
  <r>
    <x v="1"/>
    <x v="3"/>
    <x v="1"/>
    <n v="199"/>
    <x v="1"/>
    <x v="0"/>
    <n v="51"/>
    <n v="56"/>
    <n v="50"/>
  </r>
  <r>
    <x v="1"/>
    <x v="3"/>
    <x v="1"/>
    <n v="200"/>
    <x v="1"/>
    <x v="1"/>
    <n v="38"/>
    <n v="38"/>
    <n v="41"/>
  </r>
  <r>
    <x v="1"/>
    <x v="3"/>
    <x v="1"/>
    <n v="201"/>
    <x v="1"/>
    <x v="1"/>
    <n v="58"/>
    <n v="67"/>
    <n v="67"/>
  </r>
  <r>
    <x v="1"/>
    <x v="3"/>
    <x v="2"/>
    <n v="158"/>
    <x v="0"/>
    <x v="0"/>
    <n v="96"/>
    <n v="93"/>
    <n v="87"/>
  </r>
  <r>
    <x v="1"/>
    <x v="3"/>
    <x v="2"/>
    <n v="159"/>
    <x v="0"/>
    <x v="0"/>
    <n v="90"/>
    <n v="87"/>
    <n v="86"/>
  </r>
  <r>
    <x v="1"/>
    <x v="3"/>
    <x v="2"/>
    <n v="160"/>
    <x v="0"/>
    <x v="0"/>
    <n v="80"/>
    <n v="70"/>
    <n v="73"/>
  </r>
  <r>
    <x v="1"/>
    <x v="3"/>
    <x v="2"/>
    <n v="161"/>
    <x v="0"/>
    <x v="0"/>
    <n v="74"/>
    <n v="69"/>
    <n v="63"/>
  </r>
  <r>
    <x v="1"/>
    <x v="3"/>
    <x v="2"/>
    <n v="162"/>
    <x v="0"/>
    <x v="0"/>
    <n v="57"/>
    <n v="63"/>
    <n v="54"/>
  </r>
  <r>
    <x v="1"/>
    <x v="3"/>
    <x v="2"/>
    <n v="163"/>
    <x v="0"/>
    <x v="0"/>
    <n v="67"/>
    <n v="72"/>
    <n v="65"/>
  </r>
  <r>
    <x v="1"/>
    <x v="3"/>
    <x v="2"/>
    <n v="164"/>
    <x v="0"/>
    <x v="0"/>
    <n v="74"/>
    <n v="70"/>
    <n v="63"/>
  </r>
  <r>
    <x v="1"/>
    <x v="3"/>
    <x v="2"/>
    <n v="165"/>
    <x v="0"/>
    <x v="0"/>
    <n v="95"/>
    <n v="86"/>
    <n v="83"/>
  </r>
  <r>
    <x v="1"/>
    <x v="3"/>
    <x v="2"/>
    <n v="166"/>
    <x v="0"/>
    <x v="0"/>
    <n v="89"/>
    <n v="78"/>
    <n v="76"/>
  </r>
  <r>
    <x v="1"/>
    <x v="3"/>
    <x v="2"/>
    <n v="167"/>
    <x v="0"/>
    <x v="0"/>
    <n v="72"/>
    <n v="67"/>
    <n v="59"/>
  </r>
  <r>
    <x v="1"/>
    <x v="3"/>
    <x v="2"/>
    <n v="168"/>
    <x v="0"/>
    <x v="0"/>
    <n v="71"/>
    <n v="73"/>
    <n v="69"/>
  </r>
  <r>
    <x v="1"/>
    <x v="3"/>
    <x v="2"/>
    <n v="169"/>
    <x v="0"/>
    <x v="0"/>
    <n v="97"/>
    <n v="94"/>
    <n v="91"/>
  </r>
  <r>
    <x v="1"/>
    <x v="3"/>
    <x v="2"/>
    <n v="170"/>
    <x v="0"/>
    <x v="0"/>
    <n v="81"/>
    <n v="74"/>
    <n v="74"/>
  </r>
  <r>
    <x v="1"/>
    <x v="3"/>
    <x v="2"/>
    <n v="171"/>
    <x v="0"/>
    <x v="0"/>
    <n v="86"/>
    <n v="84"/>
    <n v="82"/>
  </r>
  <r>
    <x v="1"/>
    <x v="3"/>
    <x v="2"/>
    <n v="172"/>
    <x v="0"/>
    <x v="0"/>
    <n v="99"/>
    <n v="97"/>
    <n v="95"/>
  </r>
  <r>
    <x v="1"/>
    <x v="3"/>
    <x v="2"/>
    <n v="173"/>
    <x v="0"/>
    <x v="0"/>
    <n v="86"/>
    <n v="72"/>
    <n v="76"/>
  </r>
  <r>
    <x v="1"/>
    <x v="3"/>
    <x v="2"/>
    <n v="174"/>
    <x v="0"/>
    <x v="0"/>
    <n v="44"/>
    <n v="45"/>
    <n v="41"/>
  </r>
  <r>
    <x v="1"/>
    <x v="3"/>
    <x v="2"/>
    <n v="175"/>
    <x v="0"/>
    <x v="0"/>
    <n v="61"/>
    <n v="56"/>
    <n v="56"/>
  </r>
  <r>
    <x v="1"/>
    <x v="3"/>
    <x v="2"/>
    <n v="176"/>
    <x v="0"/>
    <x v="0"/>
    <n v="72"/>
    <n v="62"/>
    <n v="60"/>
  </r>
  <r>
    <x v="1"/>
    <x v="3"/>
    <x v="2"/>
    <n v="177"/>
    <x v="0"/>
    <x v="0"/>
    <n v="100"/>
    <n v="93"/>
    <n v="89"/>
  </r>
  <r>
    <x v="1"/>
    <x v="3"/>
    <x v="2"/>
    <n v="178"/>
    <x v="0"/>
    <x v="1"/>
    <n v="99"/>
    <n v="85"/>
    <n v="88"/>
  </r>
  <r>
    <x v="1"/>
    <x v="3"/>
    <x v="2"/>
    <n v="179"/>
    <x v="0"/>
    <x v="1"/>
    <n v="68"/>
    <n v="66"/>
    <n v="72"/>
  </r>
  <r>
    <x v="1"/>
    <x v="3"/>
    <x v="2"/>
    <n v="180"/>
    <x v="0"/>
    <x v="1"/>
    <n v="67"/>
    <n v="68"/>
    <n v="69"/>
  </r>
  <r>
    <x v="1"/>
    <x v="3"/>
    <x v="2"/>
    <n v="181"/>
    <x v="0"/>
    <x v="1"/>
    <n v="99"/>
    <n v="100"/>
    <n v="100"/>
  </r>
  <r>
    <x v="1"/>
    <x v="3"/>
    <x v="2"/>
    <n v="182"/>
    <x v="0"/>
    <x v="1"/>
    <n v="89"/>
    <n v="75"/>
    <n v="80"/>
  </r>
  <r>
    <x v="1"/>
    <x v="3"/>
    <x v="2"/>
    <n v="183"/>
    <x v="0"/>
    <x v="1"/>
    <n v="89"/>
    <n v="83"/>
    <n v="81"/>
  </r>
  <r>
    <x v="1"/>
    <x v="3"/>
    <x v="2"/>
    <n v="184"/>
    <x v="0"/>
    <x v="1"/>
    <n v="100"/>
    <n v="100"/>
    <n v="98"/>
  </r>
  <r>
    <x v="1"/>
    <x v="3"/>
    <x v="2"/>
    <n v="185"/>
    <x v="0"/>
    <x v="1"/>
    <n v="67"/>
    <n v="62"/>
    <n v="67"/>
  </r>
  <r>
    <x v="1"/>
    <x v="3"/>
    <x v="2"/>
    <n v="186"/>
    <x v="1"/>
    <x v="0"/>
    <n v="68"/>
    <n v="69"/>
    <n v="55"/>
  </r>
  <r>
    <x v="1"/>
    <x v="3"/>
    <x v="2"/>
    <n v="187"/>
    <x v="1"/>
    <x v="0"/>
    <n v="82"/>
    <n v="76"/>
    <n v="75"/>
  </r>
  <r>
    <x v="1"/>
    <x v="3"/>
    <x v="2"/>
    <n v="188"/>
    <x v="1"/>
    <x v="0"/>
    <n v="49"/>
    <n v="54"/>
    <n v="50"/>
  </r>
  <r>
    <x v="1"/>
    <x v="3"/>
    <x v="2"/>
    <n v="189"/>
    <x v="1"/>
    <x v="1"/>
    <n v="82"/>
    <n v="78"/>
    <n v="90"/>
  </r>
  <r>
    <x v="1"/>
    <x v="3"/>
    <x v="2"/>
    <n v="190"/>
    <x v="1"/>
    <x v="1"/>
    <n v="57"/>
    <n v="58"/>
    <n v="54"/>
  </r>
  <r>
    <x v="1"/>
    <x v="3"/>
    <x v="2"/>
    <n v="191"/>
    <x v="1"/>
    <x v="1"/>
    <n v="75"/>
    <n v="78"/>
    <n v="77"/>
  </r>
  <r>
    <x v="1"/>
    <x v="3"/>
    <x v="3"/>
    <n v="177"/>
    <x v="0"/>
    <x v="0"/>
    <n v="69"/>
    <n v="73"/>
    <n v="67"/>
  </r>
  <r>
    <x v="1"/>
    <x v="3"/>
    <x v="3"/>
    <n v="178"/>
    <x v="0"/>
    <x v="0"/>
    <n v="80"/>
    <n v="75"/>
    <n v="74"/>
  </r>
  <r>
    <x v="1"/>
    <x v="3"/>
    <x v="3"/>
    <n v="179"/>
    <x v="0"/>
    <x v="0"/>
    <n v="74"/>
    <n v="74"/>
    <n v="70"/>
  </r>
  <r>
    <x v="1"/>
    <x v="3"/>
    <x v="3"/>
    <n v="180"/>
    <x v="0"/>
    <x v="0"/>
    <n v="76"/>
    <n v="74"/>
    <n v="71"/>
  </r>
  <r>
    <x v="1"/>
    <x v="3"/>
    <x v="3"/>
    <n v="181"/>
    <x v="0"/>
    <x v="0"/>
    <n v="75"/>
    <n v="66"/>
    <n v="72"/>
  </r>
  <r>
    <x v="1"/>
    <x v="3"/>
    <x v="3"/>
    <n v="182"/>
    <x v="0"/>
    <x v="0"/>
    <n v="74"/>
    <n v="63"/>
    <n v="65"/>
  </r>
  <r>
    <x v="1"/>
    <x v="3"/>
    <x v="3"/>
    <n v="183"/>
    <x v="0"/>
    <x v="0"/>
    <n v="98"/>
    <n v="88"/>
    <n v="85"/>
  </r>
  <r>
    <x v="1"/>
    <x v="3"/>
    <x v="3"/>
    <n v="184"/>
    <x v="0"/>
    <x v="0"/>
    <n v="81"/>
    <n v="86"/>
    <n v="78"/>
  </r>
  <r>
    <x v="1"/>
    <x v="3"/>
    <x v="3"/>
    <n v="185"/>
    <x v="0"/>
    <x v="0"/>
    <n v="92"/>
    <n v="77"/>
    <n v="84"/>
  </r>
  <r>
    <x v="1"/>
    <x v="3"/>
    <x v="3"/>
    <n v="186"/>
    <x v="0"/>
    <x v="0"/>
    <n v="79"/>
    <n v="56"/>
    <n v="68"/>
  </r>
  <r>
    <x v="1"/>
    <x v="3"/>
    <x v="3"/>
    <n v="187"/>
    <x v="0"/>
    <x v="0"/>
    <n v="63"/>
    <n v="60"/>
    <n v="53"/>
  </r>
  <r>
    <x v="1"/>
    <x v="3"/>
    <x v="3"/>
    <n v="188"/>
    <x v="0"/>
    <x v="0"/>
    <n v="59"/>
    <n v="62"/>
    <n v="52"/>
  </r>
  <r>
    <x v="1"/>
    <x v="3"/>
    <x v="3"/>
    <n v="189"/>
    <x v="0"/>
    <x v="1"/>
    <n v="96"/>
    <n v="92"/>
    <n v="88"/>
  </r>
  <r>
    <x v="1"/>
    <x v="3"/>
    <x v="3"/>
    <n v="190"/>
    <x v="0"/>
    <x v="1"/>
    <n v="70"/>
    <n v="66"/>
    <n v="68"/>
  </r>
  <r>
    <x v="1"/>
    <x v="3"/>
    <x v="3"/>
    <n v="191"/>
    <x v="0"/>
    <x v="1"/>
    <n v="82"/>
    <n v="79"/>
    <n v="81"/>
  </r>
  <r>
    <x v="1"/>
    <x v="3"/>
    <x v="3"/>
    <n v="192"/>
    <x v="0"/>
    <x v="1"/>
    <n v="69"/>
    <n v="58"/>
    <n v="60"/>
  </r>
  <r>
    <x v="1"/>
    <x v="3"/>
    <x v="3"/>
    <n v="193"/>
    <x v="0"/>
    <x v="1"/>
    <n v="80"/>
    <n v="67"/>
    <n v="72"/>
  </r>
  <r>
    <x v="1"/>
    <x v="3"/>
    <x v="3"/>
    <n v="194"/>
    <x v="0"/>
    <x v="1"/>
    <n v="94"/>
    <n v="97"/>
    <n v="95"/>
  </r>
  <r>
    <x v="1"/>
    <x v="3"/>
    <x v="3"/>
    <n v="195"/>
    <x v="1"/>
    <x v="0"/>
    <n v="82"/>
    <n v="72"/>
    <n v="69"/>
  </r>
  <r>
    <x v="1"/>
    <x v="3"/>
    <x v="3"/>
    <n v="196"/>
    <x v="1"/>
    <x v="0"/>
    <n v="62"/>
    <n v="61"/>
    <n v="57"/>
  </r>
  <r>
    <x v="1"/>
    <x v="3"/>
    <x v="3"/>
    <n v="197"/>
    <x v="1"/>
    <x v="0"/>
    <n v="61"/>
    <n v="53"/>
    <n v="48"/>
  </r>
  <r>
    <x v="1"/>
    <x v="3"/>
    <x v="3"/>
    <n v="198"/>
    <x v="1"/>
    <x v="0"/>
    <n v="59"/>
    <n v="45"/>
    <n v="44"/>
  </r>
  <r>
    <x v="1"/>
    <x v="3"/>
    <x v="3"/>
    <n v="199"/>
    <x v="1"/>
    <x v="0"/>
    <n v="62"/>
    <n v="58"/>
    <n v="56"/>
  </r>
  <r>
    <x v="1"/>
    <x v="3"/>
    <x v="3"/>
    <n v="200"/>
    <x v="1"/>
    <x v="0"/>
    <n v="67"/>
    <n v="58"/>
    <n v="58"/>
  </r>
  <r>
    <x v="1"/>
    <x v="3"/>
    <x v="3"/>
    <n v="201"/>
    <x v="1"/>
    <x v="0"/>
    <n v="66"/>
    <n v="56"/>
    <n v="56"/>
  </r>
  <r>
    <x v="1"/>
    <x v="3"/>
    <x v="3"/>
    <n v="202"/>
    <x v="1"/>
    <x v="1"/>
    <n v="73"/>
    <n v="68"/>
    <n v="72"/>
  </r>
  <r>
    <x v="1"/>
    <x v="3"/>
    <x v="3"/>
    <n v="203"/>
    <x v="1"/>
    <x v="1"/>
    <n v="77"/>
    <n v="77"/>
    <n v="77"/>
  </r>
  <r>
    <x v="1"/>
    <x v="3"/>
    <x v="3"/>
    <n v="204"/>
    <x v="1"/>
    <x v="1"/>
    <n v="56"/>
    <n v="61"/>
    <n v="62"/>
  </r>
  <r>
    <x v="1"/>
    <x v="3"/>
    <x v="3"/>
    <n v="205"/>
    <x v="1"/>
    <x v="1"/>
    <n v="67"/>
    <n v="78"/>
    <n v="70"/>
  </r>
  <r>
    <x v="1"/>
    <x v="3"/>
    <x v="4"/>
    <n v="87"/>
    <x v="0"/>
    <x v="0"/>
    <n v="39"/>
    <n v="45"/>
    <n v="36"/>
  </r>
  <r>
    <x v="1"/>
    <x v="3"/>
    <x v="4"/>
    <n v="88"/>
    <x v="0"/>
    <x v="0"/>
    <n v="76"/>
    <n v="65"/>
    <n v="70"/>
  </r>
  <r>
    <x v="1"/>
    <x v="3"/>
    <x v="4"/>
    <n v="89"/>
    <x v="0"/>
    <x v="0"/>
    <n v="63"/>
    <n v="65"/>
    <n v="58"/>
  </r>
  <r>
    <x v="1"/>
    <x v="3"/>
    <x v="4"/>
    <n v="90"/>
    <x v="0"/>
    <x v="0"/>
    <n v="74"/>
    <n v="76"/>
    <n v="73"/>
  </r>
  <r>
    <x v="1"/>
    <x v="3"/>
    <x v="4"/>
    <n v="91"/>
    <x v="0"/>
    <x v="0"/>
    <n v="71"/>
    <n v="67"/>
    <n v="64"/>
  </r>
  <r>
    <x v="1"/>
    <x v="3"/>
    <x v="4"/>
    <n v="92"/>
    <x v="0"/>
    <x v="0"/>
    <n v="55"/>
    <n v="35"/>
    <n v="43"/>
  </r>
  <r>
    <x v="1"/>
    <x v="3"/>
    <x v="4"/>
    <n v="93"/>
    <x v="0"/>
    <x v="0"/>
    <n v="64"/>
    <n v="63"/>
    <n v="64"/>
  </r>
  <r>
    <x v="1"/>
    <x v="3"/>
    <x v="4"/>
    <n v="94"/>
    <x v="0"/>
    <x v="1"/>
    <n v="100"/>
    <n v="100"/>
    <n v="100"/>
  </r>
  <r>
    <x v="1"/>
    <x v="3"/>
    <x v="4"/>
    <n v="95"/>
    <x v="0"/>
    <x v="1"/>
    <n v="98"/>
    <n v="96"/>
    <n v="100"/>
  </r>
  <r>
    <x v="1"/>
    <x v="3"/>
    <x v="4"/>
    <n v="96"/>
    <x v="0"/>
    <x v="1"/>
    <n v="97"/>
    <n v="91"/>
    <n v="96"/>
  </r>
  <r>
    <x v="1"/>
    <x v="3"/>
    <x v="4"/>
    <n v="97"/>
    <x v="1"/>
    <x v="0"/>
    <n v="72"/>
    <n v="71"/>
    <n v="65"/>
  </r>
  <r>
    <x v="1"/>
    <x v="3"/>
    <x v="4"/>
    <n v="98"/>
    <x v="1"/>
    <x v="0"/>
    <n v="63"/>
    <n v="59"/>
    <n v="51"/>
  </r>
  <r>
    <x v="1"/>
    <x v="3"/>
    <x v="4"/>
    <n v="99"/>
    <x v="1"/>
    <x v="0"/>
    <n v="85"/>
    <n v="78"/>
    <n v="81"/>
  </r>
  <r>
    <x v="1"/>
    <x v="3"/>
    <x v="5"/>
    <n v="57"/>
    <x v="0"/>
    <x v="0"/>
    <n v="100"/>
    <n v="97"/>
    <n v="91"/>
  </r>
  <r>
    <x v="1"/>
    <x v="3"/>
    <x v="5"/>
    <n v="58"/>
    <x v="0"/>
    <x v="0"/>
    <n v="82"/>
    <n v="84"/>
    <n v="81"/>
  </r>
  <r>
    <x v="1"/>
    <x v="3"/>
    <x v="5"/>
    <n v="59"/>
    <x v="0"/>
    <x v="0"/>
    <n v="71"/>
    <n v="61"/>
    <n v="63"/>
  </r>
  <r>
    <x v="1"/>
    <x v="3"/>
    <x v="5"/>
    <n v="60"/>
    <x v="0"/>
    <x v="0"/>
    <n v="70"/>
    <n v="65"/>
    <n v="56"/>
  </r>
  <r>
    <x v="1"/>
    <x v="3"/>
    <x v="5"/>
    <n v="61"/>
    <x v="0"/>
    <x v="0"/>
    <n v="88"/>
    <n v="72"/>
    <n v="78"/>
  </r>
  <r>
    <x v="1"/>
    <x v="3"/>
    <x v="5"/>
    <n v="62"/>
    <x v="1"/>
    <x v="0"/>
    <n v="83"/>
    <n v="86"/>
    <n v="87"/>
  </r>
  <r>
    <x v="1"/>
    <x v="3"/>
    <x v="5"/>
    <n v="63"/>
    <x v="1"/>
    <x v="0"/>
    <n v="75"/>
    <n v="65"/>
    <n v="65"/>
  </r>
  <r>
    <x v="1"/>
    <x v="3"/>
    <x v="5"/>
    <n v="64"/>
    <x v="1"/>
    <x v="1"/>
    <n v="91"/>
    <n v="93"/>
    <n v="95"/>
  </r>
  <r>
    <x v="1"/>
    <x v="3"/>
    <x v="5"/>
    <n v="65"/>
    <x v="1"/>
    <x v="1"/>
    <n v="67"/>
    <n v="71"/>
    <n v="70"/>
  </r>
  <r>
    <x v="1"/>
    <x v="3"/>
    <x v="5"/>
    <n v="66"/>
    <x v="1"/>
    <x v="1"/>
    <n v="75"/>
    <n v="70"/>
    <n v="76"/>
  </r>
  <r>
    <x v="1"/>
    <x v="4"/>
    <x v="0"/>
    <n v="166"/>
    <x v="0"/>
    <x v="0"/>
    <n v="94"/>
    <n v="86"/>
    <n v="82"/>
  </r>
  <r>
    <x v="1"/>
    <x v="4"/>
    <x v="0"/>
    <n v="167"/>
    <x v="0"/>
    <x v="0"/>
    <n v="77"/>
    <n v="62"/>
    <n v="57"/>
  </r>
  <r>
    <x v="1"/>
    <x v="4"/>
    <x v="0"/>
    <n v="168"/>
    <x v="0"/>
    <x v="0"/>
    <n v="75"/>
    <n v="71"/>
    <n v="68"/>
  </r>
  <r>
    <x v="1"/>
    <x v="4"/>
    <x v="0"/>
    <n v="169"/>
    <x v="0"/>
    <x v="0"/>
    <n v="74"/>
    <n v="60"/>
    <n v="59"/>
  </r>
  <r>
    <x v="1"/>
    <x v="4"/>
    <x v="0"/>
    <n v="170"/>
    <x v="0"/>
    <x v="0"/>
    <n v="66"/>
    <n v="63"/>
    <n v="60"/>
  </r>
  <r>
    <x v="1"/>
    <x v="4"/>
    <x v="0"/>
    <n v="171"/>
    <x v="0"/>
    <x v="0"/>
    <n v="73"/>
    <n v="62"/>
    <n v="59"/>
  </r>
  <r>
    <x v="1"/>
    <x v="4"/>
    <x v="0"/>
    <n v="172"/>
    <x v="0"/>
    <x v="0"/>
    <n v="94"/>
    <n v="75"/>
    <n v="75"/>
  </r>
  <r>
    <x v="1"/>
    <x v="4"/>
    <x v="0"/>
    <n v="173"/>
    <x v="0"/>
    <x v="0"/>
    <n v="92"/>
    <n v="80"/>
    <n v="78"/>
  </r>
  <r>
    <x v="1"/>
    <x v="4"/>
    <x v="0"/>
    <n v="174"/>
    <x v="0"/>
    <x v="1"/>
    <n v="87"/>
    <n v="83"/>
    <n v="80"/>
  </r>
  <r>
    <x v="1"/>
    <x v="4"/>
    <x v="0"/>
    <n v="175"/>
    <x v="1"/>
    <x v="0"/>
    <n v="57"/>
    <n v="45"/>
    <n v="46"/>
  </r>
  <r>
    <x v="1"/>
    <x v="4"/>
    <x v="0"/>
    <n v="176"/>
    <x v="1"/>
    <x v="0"/>
    <n v="66"/>
    <n v="60"/>
    <n v="59"/>
  </r>
  <r>
    <x v="1"/>
    <x v="4"/>
    <x v="0"/>
    <n v="177"/>
    <x v="1"/>
    <x v="0"/>
    <n v="47"/>
    <n v="54"/>
    <n v="48"/>
  </r>
  <r>
    <x v="1"/>
    <x v="4"/>
    <x v="1"/>
    <n v="202"/>
    <x v="0"/>
    <x v="0"/>
    <n v="81"/>
    <n v="70"/>
    <n v="70"/>
  </r>
  <r>
    <x v="1"/>
    <x v="4"/>
    <x v="1"/>
    <n v="203"/>
    <x v="0"/>
    <x v="0"/>
    <n v="100"/>
    <n v="91"/>
    <n v="85"/>
  </r>
  <r>
    <x v="1"/>
    <x v="4"/>
    <x v="1"/>
    <n v="204"/>
    <x v="0"/>
    <x v="0"/>
    <n v="96"/>
    <n v="94"/>
    <n v="93"/>
  </r>
  <r>
    <x v="1"/>
    <x v="4"/>
    <x v="1"/>
    <n v="205"/>
    <x v="0"/>
    <x v="0"/>
    <n v="90"/>
    <n v="80"/>
    <n v="78"/>
  </r>
  <r>
    <x v="1"/>
    <x v="4"/>
    <x v="1"/>
    <n v="206"/>
    <x v="0"/>
    <x v="0"/>
    <n v="93"/>
    <n v="86"/>
    <n v="76"/>
  </r>
  <r>
    <x v="1"/>
    <x v="4"/>
    <x v="1"/>
    <n v="207"/>
    <x v="0"/>
    <x v="0"/>
    <n v="87"/>
    <n v="84"/>
    <n v="76"/>
  </r>
  <r>
    <x v="1"/>
    <x v="4"/>
    <x v="1"/>
    <n v="208"/>
    <x v="0"/>
    <x v="0"/>
    <n v="80"/>
    <n v="72"/>
    <n v="62"/>
  </r>
  <r>
    <x v="1"/>
    <x v="4"/>
    <x v="1"/>
    <n v="209"/>
    <x v="0"/>
    <x v="1"/>
    <n v="83"/>
    <n v="80"/>
    <n v="82"/>
  </r>
  <r>
    <x v="1"/>
    <x v="4"/>
    <x v="1"/>
    <n v="210"/>
    <x v="0"/>
    <x v="1"/>
    <n v="84"/>
    <n v="79"/>
    <n v="75"/>
  </r>
  <r>
    <x v="1"/>
    <x v="4"/>
    <x v="1"/>
    <n v="211"/>
    <x v="1"/>
    <x v="0"/>
    <n v="81"/>
    <n v="84"/>
    <n v="78"/>
  </r>
  <r>
    <x v="1"/>
    <x v="4"/>
    <x v="1"/>
    <n v="212"/>
    <x v="1"/>
    <x v="0"/>
    <n v="59"/>
    <n v="55"/>
    <n v="46"/>
  </r>
  <r>
    <x v="1"/>
    <x v="4"/>
    <x v="1"/>
    <n v="213"/>
    <x v="1"/>
    <x v="0"/>
    <n v="61"/>
    <n v="56"/>
    <n v="52"/>
  </r>
  <r>
    <x v="1"/>
    <x v="4"/>
    <x v="1"/>
    <n v="214"/>
    <x v="1"/>
    <x v="1"/>
    <n v="76"/>
    <n v="61"/>
    <n v="61"/>
  </r>
  <r>
    <x v="1"/>
    <x v="4"/>
    <x v="1"/>
    <n v="215"/>
    <x v="1"/>
    <x v="1"/>
    <n v="74"/>
    <n v="67"/>
    <n v="61"/>
  </r>
  <r>
    <x v="1"/>
    <x v="4"/>
    <x v="2"/>
    <n v="192"/>
    <x v="0"/>
    <x v="0"/>
    <n v="89"/>
    <n v="88"/>
    <n v="86"/>
  </r>
  <r>
    <x v="1"/>
    <x v="4"/>
    <x v="2"/>
    <n v="193"/>
    <x v="0"/>
    <x v="0"/>
    <n v="83"/>
    <n v="83"/>
    <n v="78"/>
  </r>
  <r>
    <x v="1"/>
    <x v="4"/>
    <x v="2"/>
    <n v="194"/>
    <x v="0"/>
    <x v="0"/>
    <n v="75"/>
    <n v="68"/>
    <n v="68"/>
  </r>
  <r>
    <x v="1"/>
    <x v="4"/>
    <x v="2"/>
    <n v="195"/>
    <x v="0"/>
    <x v="0"/>
    <n v="78"/>
    <n v="73"/>
    <n v="65"/>
  </r>
  <r>
    <x v="1"/>
    <x v="4"/>
    <x v="2"/>
    <n v="196"/>
    <x v="0"/>
    <x v="0"/>
    <n v="56"/>
    <n v="44"/>
    <n v="44"/>
  </r>
  <r>
    <x v="1"/>
    <x v="4"/>
    <x v="2"/>
    <n v="197"/>
    <x v="0"/>
    <x v="0"/>
    <n v="71"/>
    <n v="63"/>
    <n v="53"/>
  </r>
  <r>
    <x v="1"/>
    <x v="4"/>
    <x v="2"/>
    <n v="198"/>
    <x v="0"/>
    <x v="0"/>
    <n v="82"/>
    <n v="76"/>
    <n v="71"/>
  </r>
  <r>
    <x v="1"/>
    <x v="4"/>
    <x v="2"/>
    <n v="199"/>
    <x v="0"/>
    <x v="1"/>
    <n v="93"/>
    <n v="87"/>
    <n v="84"/>
  </r>
  <r>
    <x v="1"/>
    <x v="4"/>
    <x v="2"/>
    <n v="200"/>
    <x v="0"/>
    <x v="1"/>
    <n v="82"/>
    <n v="78"/>
    <n v="78"/>
  </r>
  <r>
    <x v="1"/>
    <x v="4"/>
    <x v="2"/>
    <n v="201"/>
    <x v="0"/>
    <x v="1"/>
    <n v="88"/>
    <n v="78"/>
    <n v="86"/>
  </r>
  <r>
    <x v="1"/>
    <x v="4"/>
    <x v="2"/>
    <n v="202"/>
    <x v="0"/>
    <x v="1"/>
    <n v="84"/>
    <n v="75"/>
    <n v="75"/>
  </r>
  <r>
    <x v="1"/>
    <x v="4"/>
    <x v="2"/>
    <n v="203"/>
    <x v="1"/>
    <x v="0"/>
    <n v="57"/>
    <n v="45"/>
    <n v="42"/>
  </r>
  <r>
    <x v="1"/>
    <x v="4"/>
    <x v="2"/>
    <n v="204"/>
    <x v="1"/>
    <x v="1"/>
    <n v="66"/>
    <n v="60"/>
    <n v="64"/>
  </r>
  <r>
    <x v="1"/>
    <x v="4"/>
    <x v="3"/>
    <n v="206"/>
    <x v="0"/>
    <x v="0"/>
    <n v="98"/>
    <n v="79"/>
    <n v="85"/>
  </r>
  <r>
    <x v="1"/>
    <x v="4"/>
    <x v="3"/>
    <n v="207"/>
    <x v="0"/>
    <x v="0"/>
    <n v="88"/>
    <n v="81"/>
    <n v="77"/>
  </r>
  <r>
    <x v="1"/>
    <x v="4"/>
    <x v="3"/>
    <n v="208"/>
    <x v="0"/>
    <x v="0"/>
    <n v="88"/>
    <n v="76"/>
    <n v="81"/>
  </r>
  <r>
    <x v="1"/>
    <x v="4"/>
    <x v="3"/>
    <n v="209"/>
    <x v="0"/>
    <x v="0"/>
    <n v="97"/>
    <n v="96"/>
    <n v="89"/>
  </r>
  <r>
    <x v="1"/>
    <x v="4"/>
    <x v="3"/>
    <n v="210"/>
    <x v="0"/>
    <x v="0"/>
    <n v="75"/>
    <n v="66"/>
    <n v="59"/>
  </r>
  <r>
    <x v="1"/>
    <x v="4"/>
    <x v="3"/>
    <n v="211"/>
    <x v="0"/>
    <x v="0"/>
    <n v="81"/>
    <n v="78"/>
    <n v="68"/>
  </r>
  <r>
    <x v="1"/>
    <x v="4"/>
    <x v="3"/>
    <n v="212"/>
    <x v="0"/>
    <x v="0"/>
    <n v="81"/>
    <n v="72"/>
    <n v="70"/>
  </r>
  <r>
    <x v="1"/>
    <x v="4"/>
    <x v="3"/>
    <n v="213"/>
    <x v="0"/>
    <x v="1"/>
    <n v="61"/>
    <n v="49"/>
    <n v="52"/>
  </r>
  <r>
    <x v="1"/>
    <x v="4"/>
    <x v="3"/>
    <n v="214"/>
    <x v="0"/>
    <x v="1"/>
    <n v="80"/>
    <n v="70"/>
    <n v="71"/>
  </r>
  <r>
    <x v="1"/>
    <x v="4"/>
    <x v="3"/>
    <n v="215"/>
    <x v="0"/>
    <x v="1"/>
    <n v="84"/>
    <n v="77"/>
    <n v="79"/>
  </r>
  <r>
    <x v="1"/>
    <x v="4"/>
    <x v="3"/>
    <n v="216"/>
    <x v="0"/>
    <x v="1"/>
    <n v="97"/>
    <n v="88"/>
    <n v="81"/>
  </r>
  <r>
    <x v="1"/>
    <x v="4"/>
    <x v="3"/>
    <n v="217"/>
    <x v="0"/>
    <x v="1"/>
    <n v="100"/>
    <n v="89"/>
    <n v="86"/>
  </r>
  <r>
    <x v="1"/>
    <x v="4"/>
    <x v="3"/>
    <n v="218"/>
    <x v="0"/>
    <x v="1"/>
    <n v="99"/>
    <n v="98"/>
    <n v="93"/>
  </r>
  <r>
    <x v="1"/>
    <x v="4"/>
    <x v="3"/>
    <n v="219"/>
    <x v="0"/>
    <x v="1"/>
    <n v="87"/>
    <n v="87"/>
    <n v="79"/>
  </r>
  <r>
    <x v="1"/>
    <x v="4"/>
    <x v="3"/>
    <n v="220"/>
    <x v="0"/>
    <x v="1"/>
    <n v="91"/>
    <n v="76"/>
    <n v="78"/>
  </r>
  <r>
    <x v="1"/>
    <x v="4"/>
    <x v="3"/>
    <n v="221"/>
    <x v="0"/>
    <x v="1"/>
    <n v="90"/>
    <n v="93"/>
    <n v="91"/>
  </r>
  <r>
    <x v="1"/>
    <x v="4"/>
    <x v="3"/>
    <n v="222"/>
    <x v="1"/>
    <x v="0"/>
    <n v="73"/>
    <n v="73"/>
    <n v="63"/>
  </r>
  <r>
    <x v="1"/>
    <x v="4"/>
    <x v="3"/>
    <n v="223"/>
    <x v="1"/>
    <x v="0"/>
    <n v="67"/>
    <n v="67"/>
    <n v="62"/>
  </r>
  <r>
    <x v="1"/>
    <x v="4"/>
    <x v="3"/>
    <n v="224"/>
    <x v="1"/>
    <x v="1"/>
    <n v="72"/>
    <n v="73"/>
    <n v="75"/>
  </r>
  <r>
    <x v="1"/>
    <x v="4"/>
    <x v="4"/>
    <n v="100"/>
    <x v="0"/>
    <x v="0"/>
    <n v="85"/>
    <n v="77"/>
    <n v="78"/>
  </r>
  <r>
    <x v="1"/>
    <x v="4"/>
    <x v="4"/>
    <n v="101"/>
    <x v="0"/>
    <x v="0"/>
    <n v="56"/>
    <n v="50"/>
    <n v="50"/>
  </r>
  <r>
    <x v="1"/>
    <x v="4"/>
    <x v="4"/>
    <n v="102"/>
    <x v="0"/>
    <x v="1"/>
    <n v="95"/>
    <n v="90"/>
    <n v="89"/>
  </r>
  <r>
    <x v="1"/>
    <x v="4"/>
    <x v="4"/>
    <n v="103"/>
    <x v="0"/>
    <x v="1"/>
    <n v="100"/>
    <n v="100"/>
    <n v="100"/>
  </r>
  <r>
    <x v="1"/>
    <x v="4"/>
    <x v="4"/>
    <n v="104"/>
    <x v="1"/>
    <x v="0"/>
    <n v="62"/>
    <n v="69"/>
    <n v="60"/>
  </r>
  <r>
    <x v="1"/>
    <x v="4"/>
    <x v="4"/>
    <n v="105"/>
    <x v="1"/>
    <x v="0"/>
    <n v="87"/>
    <n v="79"/>
    <n v="72"/>
  </r>
  <r>
    <x v="1"/>
    <x v="4"/>
    <x v="5"/>
    <n v="67"/>
    <x v="0"/>
    <x v="0"/>
    <n v="89"/>
    <n v="85"/>
    <n v="78"/>
  </r>
  <r>
    <x v="1"/>
    <x v="4"/>
    <x v="5"/>
    <n v="68"/>
    <x v="0"/>
    <x v="0"/>
    <n v="43"/>
    <n v="45"/>
    <n v="38"/>
  </r>
  <r>
    <x v="1"/>
    <x v="4"/>
    <x v="5"/>
    <n v="69"/>
    <x v="0"/>
    <x v="0"/>
    <n v="91"/>
    <n v="82"/>
    <n v="74"/>
  </r>
  <r>
    <x v="1"/>
    <x v="4"/>
    <x v="5"/>
    <n v="70"/>
    <x v="0"/>
    <x v="1"/>
    <n v="88"/>
    <n v="89"/>
    <n v="87"/>
  </r>
  <r>
    <x v="1"/>
    <x v="4"/>
    <x v="5"/>
    <n v="71"/>
    <x v="0"/>
    <x v="1"/>
    <n v="84"/>
    <n v="76"/>
    <n v="81"/>
  </r>
  <r>
    <x v="1"/>
    <x v="4"/>
    <x v="5"/>
    <n v="72"/>
    <x v="1"/>
    <x v="0"/>
    <n v="56"/>
    <n v="46"/>
    <n v="43"/>
  </r>
  <r>
    <x v="1"/>
    <x v="4"/>
    <x v="5"/>
    <n v="73"/>
    <x v="1"/>
    <x v="0"/>
    <n v="74"/>
    <n v="67"/>
    <n v="67"/>
  </r>
  <r>
    <x v="1"/>
    <x v="4"/>
    <x v="5"/>
    <n v="74"/>
    <x v="1"/>
    <x v="0"/>
    <n v="69"/>
    <n v="56"/>
    <n v="56"/>
  </r>
  <r>
    <x v="1"/>
    <x v="4"/>
    <x v="5"/>
    <n v="75"/>
    <x v="1"/>
    <x v="0"/>
    <n v="68"/>
    <n v="70"/>
    <n v="6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1B3B55-6AED-451E-A0F9-EE3063283D58}" name="Tabela dinâmica11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1" rowHeaderCaption="Raça/Etnia">
  <location ref="E8:F13" firstHeaderRow="1" firstDataRow="1" firstDataCol="1"/>
  <pivotFields count="9">
    <pivotField showAll="0"/>
    <pivotField axis="axisRow" showAll="0">
      <items count="6">
        <item n="A" x="0"/>
        <item n="B" x="1"/>
        <item n="C" x="2"/>
        <item n="D" x="3"/>
        <item n="E" x="4"/>
        <item t="default"/>
      </items>
    </pivotField>
    <pivotField showAll="0"/>
    <pivotField showAll="0"/>
    <pivotField showAll="0">
      <items count="4">
        <item m="1" x="2"/>
        <item x="0"/>
        <item x="1"/>
        <item t="default"/>
      </items>
    </pivotField>
    <pivotField showAll="0">
      <items count="3">
        <item x="1"/>
        <item x="0"/>
        <item t="default"/>
      </items>
    </pivotField>
    <pivotField dataField="1" showAll="0"/>
    <pivotField showAll="0"/>
    <pivotField showAll="0"/>
  </pivotFields>
  <rowFields count="1">
    <field x="1"/>
  </rowFields>
  <rowItems count="5">
    <i>
      <x/>
    </i>
    <i>
      <x v="1"/>
    </i>
    <i>
      <x v="2"/>
    </i>
    <i>
      <x v="3"/>
    </i>
    <i>
      <x v="4"/>
    </i>
  </rowItems>
  <colItems count="1">
    <i/>
  </colItems>
  <dataFields count="1">
    <dataField name="Média de Pontuação matemática" fld="6" subtotal="average" baseField="1" baseItem="0"/>
  </dataFields>
  <formats count="28">
    <format dxfId="292">
      <pivotArea outline="0" collapsedLevelsAreSubtotals="1" fieldPosition="0"/>
    </format>
    <format dxfId="291">
      <pivotArea dataOnly="0" labelOnly="1" fieldPosition="0">
        <references count="1">
          <reference field="1" count="0"/>
        </references>
      </pivotArea>
    </format>
    <format dxfId="290">
      <pivotArea collapsedLevelsAreSubtotals="1" fieldPosition="0">
        <references count="1">
          <reference field="1" count="0"/>
        </references>
      </pivotArea>
    </format>
    <format dxfId="289">
      <pivotArea grandRow="1" outline="0" collapsedLevelsAreSubtotals="1" fieldPosition="0"/>
    </format>
    <format dxfId="288">
      <pivotArea type="all" dataOnly="0" outline="0" fieldPosition="0"/>
    </format>
    <format dxfId="287">
      <pivotArea outline="0" collapsedLevelsAreSubtotals="1" fieldPosition="0"/>
    </format>
    <format dxfId="286">
      <pivotArea field="1" type="button" dataOnly="0" labelOnly="1" outline="0" axis="axisRow" fieldPosition="0"/>
    </format>
    <format dxfId="285">
      <pivotArea dataOnly="0" labelOnly="1" fieldPosition="0">
        <references count="1">
          <reference field="1" count="0"/>
        </references>
      </pivotArea>
    </format>
    <format dxfId="284">
      <pivotArea dataOnly="0" labelOnly="1" grandRow="1" outline="0" fieldPosition="0"/>
    </format>
    <format dxfId="28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82">
      <pivotArea dataOnly="0" labelOnly="1" outline="0" axis="axisValues" fieldPosition="0"/>
    </format>
    <format dxfId="281">
      <pivotArea type="all" dataOnly="0" outline="0" fieldPosition="0"/>
    </format>
    <format dxfId="280">
      <pivotArea outline="0" collapsedLevelsAreSubtotals="1" fieldPosition="0"/>
    </format>
    <format dxfId="279">
      <pivotArea field="1" type="button" dataOnly="0" labelOnly="1" outline="0" axis="axisRow" fieldPosition="0"/>
    </format>
    <format dxfId="278">
      <pivotArea dataOnly="0" labelOnly="1" fieldPosition="0">
        <references count="1">
          <reference field="1" count="0"/>
        </references>
      </pivotArea>
    </format>
    <format dxfId="277">
      <pivotArea dataOnly="0" labelOnly="1" outline="0" axis="axisValues" fieldPosition="0"/>
    </format>
    <format dxfId="276">
      <pivotArea dataOnly="0" labelOnly="1" outline="0" axis="axisValues" fieldPosition="0"/>
    </format>
    <format dxfId="275">
      <pivotArea type="all" dataOnly="0" outline="0" fieldPosition="0"/>
    </format>
    <format dxfId="274">
      <pivotArea outline="0" collapsedLevelsAreSubtotals="1" fieldPosition="0"/>
    </format>
    <format dxfId="273">
      <pivotArea field="1" type="button" dataOnly="0" labelOnly="1" outline="0" axis="axisRow" fieldPosition="0"/>
    </format>
    <format dxfId="272">
      <pivotArea dataOnly="0" labelOnly="1" fieldPosition="0">
        <references count="1">
          <reference field="1" count="0"/>
        </references>
      </pivotArea>
    </format>
    <format dxfId="271">
      <pivotArea dataOnly="0" labelOnly="1" outline="0" axis="axisValues" fieldPosition="0"/>
    </format>
    <format dxfId="270">
      <pivotArea dataOnly="0" labelOnly="1" outline="0" axis="axisValues" fieldPosition="0"/>
    </format>
    <format dxfId="269">
      <pivotArea field="1" type="button" dataOnly="0" labelOnly="1" outline="0" axis="axisRow" fieldPosition="0"/>
    </format>
    <format dxfId="268">
      <pivotArea collapsedLevelsAreSubtotals="1" fieldPosition="0">
        <references count="1">
          <reference field="1" count="1">
            <x v="0"/>
          </reference>
        </references>
      </pivotArea>
    </format>
    <format dxfId="267">
      <pivotArea dataOnly="0" labelOnly="1" fieldPosition="0">
        <references count="1">
          <reference field="1" count="1">
            <x v="0"/>
          </reference>
        </references>
      </pivotArea>
    </format>
    <format dxfId="266">
      <pivotArea collapsedLevelsAreSubtotals="1" fieldPosition="0">
        <references count="1">
          <reference field="1" count="3">
            <x v="1"/>
            <x v="2"/>
            <x v="3"/>
          </reference>
        </references>
      </pivotArea>
    </format>
    <format dxfId="265">
      <pivotArea dataOnly="0" labelOnly="1" fieldPosition="0">
        <references count="1">
          <reference field="1" count="3">
            <x v="1"/>
            <x v="2"/>
            <x v="3"/>
          </reference>
        </references>
      </pivotArea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6046BD-03CB-4383-810A-8A00B8F9040A}" name="Tabela dinâmica17" cacheId="0" applyNumberFormats="0" applyBorderFormats="0" applyFontFormats="0" applyPatternFormats="0" applyAlignmentFormats="0" applyWidthHeightFormats="1" dataCaption="Valores" grandTotalCaption="Média Geral" updatedVersion="8" minRefreshableVersion="3" useAutoFormatting="1" itemPrintTitles="1" createdVersion="8" indent="0" outline="1" outlineData="1" multipleFieldFilters="0" chartFormat="10" rowHeaderCaption="Gênero">
  <location ref="B8:C11" firstHeaderRow="1" firstDataRow="1" firstDataCol="1"/>
  <pivotFields count="9"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>
      <items count="4">
        <item m="1" x="2"/>
        <item x="0"/>
        <item x="1"/>
        <item t="default"/>
      </items>
    </pivotField>
    <pivotField showAll="0">
      <items count="3">
        <item x="1"/>
        <item x="0"/>
        <item t="default"/>
      </items>
    </pivotField>
    <pivotField dataField="1" showAll="0"/>
    <pivotField showAll="0"/>
    <pivotField showAl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Média de Pontuação matemática" fld="6" subtotal="average" baseField="0" baseItem="0"/>
  </dataFields>
  <formats count="18">
    <format dxfId="310">
      <pivotArea outline="0" collapsedLevelsAreSubtotals="1" fieldPosition="0"/>
    </format>
    <format dxfId="309">
      <pivotArea outline="0" collapsedLevelsAreSubtotals="1" fieldPosition="0"/>
    </format>
    <format dxfId="308">
      <pivotArea type="all" dataOnly="0" outline="0" fieldPosition="0"/>
    </format>
    <format dxfId="307">
      <pivotArea outline="0" collapsedLevelsAreSubtotals="1" fieldPosition="0"/>
    </format>
    <format dxfId="306">
      <pivotArea field="0" type="button" dataOnly="0" labelOnly="1" outline="0" axis="axisRow" fieldPosition="0"/>
    </format>
    <format dxfId="30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04">
      <pivotArea type="all" dataOnly="0" outline="0" fieldPosition="0"/>
    </format>
    <format dxfId="30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02">
      <pivotArea grandRow="1" outline="0" collapsedLevelsAreSubtotals="1" fieldPosition="0"/>
    </format>
    <format dxfId="301">
      <pivotArea dataOnly="0" labelOnly="1" grandRow="1" outline="0" fieldPosition="0"/>
    </format>
    <format dxfId="300">
      <pivotArea dataOnly="0" grandRow="1" fieldPosition="0"/>
    </format>
    <format dxfId="299">
      <pivotArea dataOnly="0" labelOnly="1" outline="0" axis="axisValues" fieldPosition="0"/>
    </format>
    <format dxfId="298">
      <pivotArea type="all" dataOnly="0" outline="0" fieldPosition="0"/>
    </format>
    <format dxfId="297">
      <pivotArea outline="0" collapsedLevelsAreSubtotals="1" fieldPosition="0"/>
    </format>
    <format dxfId="296">
      <pivotArea field="0" type="button" dataOnly="0" labelOnly="1" outline="0" axis="axisRow" fieldPosition="0"/>
    </format>
    <format dxfId="295">
      <pivotArea grandRow="1" outline="0" collapsedLevelsAreSubtotals="1" fieldPosition="0"/>
    </format>
    <format dxfId="294">
      <pivotArea collapsedLevelsAreSubtotals="1" fieldPosition="0">
        <references count="1">
          <reference field="0" count="0"/>
        </references>
      </pivotArea>
    </format>
    <format dxfId="293">
      <pivotArea dataOnly="0" labelOnly="1" fieldPosition="0">
        <references count="1">
          <reference field="0" count="0"/>
        </references>
      </pivotArea>
    </format>
  </formats>
  <chartFormats count="3">
    <chartFormat chart="5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5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B34569-62C1-430B-9597-254BF304F99D}" name="Tabela dinâmica6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2" rowHeaderCaption="Raça/Etnia">
  <location ref="H8:I13" firstHeaderRow="1" firstDataRow="1" firstDataCol="1"/>
  <pivotFields count="9"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>
      <items count="4">
        <item m="1" x="2"/>
        <item x="0"/>
        <item x="1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dataField="1" showAll="0"/>
  </pivotFields>
  <rowFields count="1">
    <field x="1"/>
  </rowFields>
  <rowItems count="5">
    <i>
      <x/>
    </i>
    <i>
      <x v="1"/>
    </i>
    <i>
      <x v="2"/>
    </i>
    <i>
      <x v="3"/>
    </i>
    <i>
      <x v="4"/>
    </i>
  </rowItems>
  <colItems count="1">
    <i/>
  </colItems>
  <dataFields count="1">
    <dataField name="Média de Pontuação de escrita" fld="8" subtotal="average" baseField="1" baseItem="1" numFmtId="2"/>
  </dataFields>
  <formats count="23">
    <format dxfId="333">
      <pivotArea outline="0" collapsedLevelsAreSubtotals="1" fieldPosition="0"/>
    </format>
    <format dxfId="332">
      <pivotArea grandRow="1" outline="0" collapsedLevelsAreSubtotals="1" fieldPosition="0"/>
    </format>
    <format dxfId="331">
      <pivotArea dataOnly="0" labelOnly="1" grandRow="1" outline="0" fieldPosition="0"/>
    </format>
    <format dxfId="330">
      <pivotArea dataOnly="0" labelOnly="1" outline="0" axis="axisValues" fieldPosition="0"/>
    </format>
    <format dxfId="329">
      <pivotArea dataOnly="0" labelOnly="1" outline="0" axis="axisValues" fieldPosition="0"/>
    </format>
    <format dxfId="328">
      <pivotArea type="all" dataOnly="0" outline="0" fieldPosition="0"/>
    </format>
    <format dxfId="327">
      <pivotArea outline="0" collapsedLevelsAreSubtotals="1" fieldPosition="0"/>
    </format>
    <format dxfId="326">
      <pivotArea field="1" type="button" dataOnly="0" labelOnly="1" outline="0" axis="axisRow" fieldPosition="0"/>
    </format>
    <format dxfId="325">
      <pivotArea dataOnly="0" labelOnly="1" fieldPosition="0">
        <references count="1">
          <reference field="1" count="0"/>
        </references>
      </pivotArea>
    </format>
    <format dxfId="324">
      <pivotArea dataOnly="0" labelOnly="1" outline="0" axis="axisValues" fieldPosition="0"/>
    </format>
    <format dxfId="323">
      <pivotArea dataOnly="0" labelOnly="1" outline="0" axis="axisValues" fieldPosition="0"/>
    </format>
    <format dxfId="322">
      <pivotArea type="all" dataOnly="0" outline="0" fieldPosition="0"/>
    </format>
    <format dxfId="321">
      <pivotArea outline="0" collapsedLevelsAreSubtotals="1" fieldPosition="0"/>
    </format>
    <format dxfId="320">
      <pivotArea field="1" type="button" dataOnly="0" labelOnly="1" outline="0" axis="axisRow" fieldPosition="0"/>
    </format>
    <format dxfId="319">
      <pivotArea dataOnly="0" labelOnly="1" fieldPosition="0">
        <references count="1">
          <reference field="1" count="0"/>
        </references>
      </pivotArea>
    </format>
    <format dxfId="318">
      <pivotArea dataOnly="0" labelOnly="1" outline="0" axis="axisValues" fieldPosition="0"/>
    </format>
    <format dxfId="317">
      <pivotArea outline="0" collapsedLevelsAreSubtotals="1" fieldPosition="0"/>
    </format>
    <format dxfId="316">
      <pivotArea dataOnly="0" labelOnly="1" outline="0" axis="axisValues" fieldPosition="0"/>
    </format>
    <format dxfId="315">
      <pivotArea field="1" type="button" dataOnly="0" labelOnly="1" outline="0" axis="axisRow" fieldPosition="0"/>
    </format>
    <format dxfId="314">
      <pivotArea dataOnly="0" fieldPosition="0">
        <references count="1">
          <reference field="1" count="1">
            <x v="0"/>
          </reference>
        </references>
      </pivotArea>
    </format>
    <format dxfId="313">
      <pivotArea dataOnly="0" fieldPosition="0">
        <references count="1">
          <reference field="1" count="1">
            <x v="1"/>
          </reference>
        </references>
      </pivotArea>
    </format>
    <format dxfId="312">
      <pivotArea dataOnly="0" fieldPosition="0">
        <references count="1">
          <reference field="1" count="1">
            <x v="2"/>
          </reference>
        </references>
      </pivotArea>
    </format>
    <format dxfId="311">
      <pivotArea dataOnly="0" fieldPosition="0">
        <references count="1">
          <reference field="1" count="1">
            <x v="3"/>
          </reference>
        </references>
      </pivotArea>
    </format>
  </format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723F42-C317-4933-B1F3-6D4A2663F6B8}" name="Tabela dinâmica5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2" rowHeaderCaption="Raça/Etnia">
  <location ref="E16:F21" firstHeaderRow="1" firstDataRow="1" firstDataCol="1"/>
  <pivotFields count="9"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>
      <items count="4">
        <item m="1" x="2"/>
        <item x="0"/>
        <item x="1"/>
        <item t="default"/>
      </items>
    </pivotField>
    <pivotField showAll="0">
      <items count="3">
        <item x="1"/>
        <item x="0"/>
        <item t="default"/>
      </items>
    </pivotField>
    <pivotField showAll="0"/>
    <pivotField dataField="1" showAll="0"/>
    <pivotField showAll="0"/>
  </pivotFields>
  <rowFields count="1">
    <field x="1"/>
  </rowFields>
  <rowItems count="5">
    <i>
      <x/>
    </i>
    <i>
      <x v="1"/>
    </i>
    <i>
      <x v="2"/>
    </i>
    <i>
      <x v="3"/>
    </i>
    <i>
      <x v="4"/>
    </i>
  </rowItems>
  <colItems count="1">
    <i/>
  </colItems>
  <dataFields count="1">
    <dataField name="Média de Pontuação de leitura" fld="7" subtotal="average" baseField="1" baseItem="0" numFmtId="2"/>
  </dataFields>
  <formats count="22">
    <format dxfId="355">
      <pivotArea outline="0" collapsedLevelsAreSubtotals="1" fieldPosition="0"/>
    </format>
    <format dxfId="354">
      <pivotArea grandRow="1" outline="0" collapsedLevelsAreSubtotals="1" fieldPosition="0"/>
    </format>
    <format dxfId="353">
      <pivotArea dataOnly="0" labelOnly="1" grandRow="1" outline="0" fieldPosition="0"/>
    </format>
    <format dxfId="352">
      <pivotArea dataOnly="0" labelOnly="1" outline="0" axis="axisValues" fieldPosition="0"/>
    </format>
    <format dxfId="351">
      <pivotArea type="all" dataOnly="0" outline="0" fieldPosition="0"/>
    </format>
    <format dxfId="350">
      <pivotArea outline="0" collapsedLevelsAreSubtotals="1" fieldPosition="0"/>
    </format>
    <format dxfId="349">
      <pivotArea field="1" type="button" dataOnly="0" labelOnly="1" outline="0" axis="axisRow" fieldPosition="0"/>
    </format>
    <format dxfId="348">
      <pivotArea dataOnly="0" labelOnly="1" fieldPosition="0">
        <references count="1">
          <reference field="1" count="0"/>
        </references>
      </pivotArea>
    </format>
    <format dxfId="347">
      <pivotArea dataOnly="0" labelOnly="1" outline="0" axis="axisValues" fieldPosition="0"/>
    </format>
    <format dxfId="346">
      <pivotArea dataOnly="0" labelOnly="1" outline="0" axis="axisValues" fieldPosition="0"/>
    </format>
    <format dxfId="345">
      <pivotArea type="all" dataOnly="0" outline="0" fieldPosition="0"/>
    </format>
    <format dxfId="344">
      <pivotArea outline="0" collapsedLevelsAreSubtotals="1" fieldPosition="0"/>
    </format>
    <format dxfId="343">
      <pivotArea field="1" type="button" dataOnly="0" labelOnly="1" outline="0" axis="axisRow" fieldPosition="0"/>
    </format>
    <format dxfId="342">
      <pivotArea dataOnly="0" labelOnly="1" fieldPosition="0">
        <references count="1">
          <reference field="1" count="0"/>
        </references>
      </pivotArea>
    </format>
    <format dxfId="341">
      <pivotArea dataOnly="0" labelOnly="1" outline="0" axis="axisValues" fieldPosition="0"/>
    </format>
    <format dxfId="340">
      <pivotArea outline="0" collapsedLevelsAreSubtotals="1" fieldPosition="0"/>
    </format>
    <format dxfId="339">
      <pivotArea dataOnly="0" labelOnly="1" outline="0" axis="axisValues" fieldPosition="0"/>
    </format>
    <format dxfId="338">
      <pivotArea field="1" type="button" dataOnly="0" labelOnly="1" outline="0" axis="axisRow" fieldPosition="0"/>
    </format>
    <format dxfId="337">
      <pivotArea dataOnly="0" fieldPosition="0">
        <references count="1">
          <reference field="1" count="1">
            <x v="0"/>
          </reference>
        </references>
      </pivotArea>
    </format>
    <format dxfId="336">
      <pivotArea dataOnly="0" fieldPosition="0">
        <references count="1">
          <reference field="1" count="1">
            <x v="1"/>
          </reference>
        </references>
      </pivotArea>
    </format>
    <format dxfId="335">
      <pivotArea dataOnly="0" fieldPosition="0">
        <references count="1">
          <reference field="1" count="1">
            <x v="2"/>
          </reference>
        </references>
      </pivotArea>
    </format>
    <format dxfId="334">
      <pivotArea dataOnly="0" fieldPosition="0">
        <references count="1">
          <reference field="1" count="1">
            <x v="3"/>
          </reference>
        </references>
      </pivotArea>
    </format>
  </format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2461C0-23E2-4865-A748-455C3136B9CB}" name="Tabela dinâmica4" cacheId="0" applyNumberFormats="0" applyBorderFormats="0" applyFontFormats="0" applyPatternFormats="0" applyAlignmentFormats="0" applyWidthHeightFormats="1" dataCaption="Valores" grandTotalCaption="Média Geral" updatedVersion="8" minRefreshableVersion="3" useAutoFormatting="1" itemPrintTitles="1" createdVersion="8" indent="0" outline="1" outlineData="1" multipleFieldFilters="0" chartFormat="2" rowHeaderCaption="Gênero">
  <location ref="B18:C21" firstHeaderRow="1" firstDataRow="1" firstDataCol="1"/>
  <pivotFields count="9"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>
      <items count="4">
        <item m="1" x="2"/>
        <item x="0"/>
        <item x="1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dataField="1" showAl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Média de Pontuação de escrita" fld="8" subtotal="average" baseField="0" baseItem="0" numFmtId="2"/>
  </dataFields>
  <formats count="6">
    <format dxfId="361">
      <pivotArea outline="0" collapsedLevelsAreSubtotals="1" fieldPosition="0"/>
    </format>
    <format dxfId="360">
      <pivotArea grandRow="1" outline="0" collapsedLevelsAreSubtotals="1" fieldPosition="0"/>
    </format>
    <format dxfId="359">
      <pivotArea dataOnly="0" labelOnly="1" grandRow="1" outline="0" fieldPosition="0"/>
    </format>
    <format dxfId="358">
      <pivotArea dataOnly="0" grandRow="1" fieldPosition="0"/>
    </format>
    <format dxfId="357">
      <pivotArea dataOnly="0" labelOnly="1" outline="0" axis="axisValues" fieldPosition="0"/>
    </format>
    <format dxfId="356">
      <pivotArea field="0" type="button" dataOnly="0" labelOnly="1" outline="0" axis="axisRow" fieldPosition="0"/>
    </format>
  </formats>
  <chartFormats count="3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BFFB35-8DB6-446A-8058-1A516FE71DDF}" name="Tabela dinâmica2" cacheId="0" applyNumberFormats="0" applyBorderFormats="0" applyFontFormats="0" applyPatternFormats="0" applyAlignmentFormats="0" applyWidthHeightFormats="1" dataCaption="Valores" grandTotalCaption="Média Geral" updatedVersion="8" minRefreshableVersion="3" useAutoFormatting="1" itemPrintTitles="1" createdVersion="8" indent="0" outline="1" outlineData="1" multipleFieldFilters="0" chartFormat="4" rowHeaderCaption="Gênero">
  <location ref="B13:C16" firstHeaderRow="1" firstDataRow="1" firstDataCol="1"/>
  <pivotFields count="9"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>
      <items count="4">
        <item m="1" x="2"/>
        <item x="0"/>
        <item x="1"/>
        <item t="default"/>
      </items>
    </pivotField>
    <pivotField showAll="0">
      <items count="3">
        <item x="1"/>
        <item x="0"/>
        <item t="default"/>
      </items>
    </pivotField>
    <pivotField showAll="0"/>
    <pivotField dataField="1" showAll="0"/>
    <pivotField showAl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Média de Pontuação de leitura" fld="7" subtotal="average" baseField="0" baseItem="0" numFmtId="2"/>
  </dataFields>
  <formats count="12">
    <format dxfId="373">
      <pivotArea collapsedLevelsAreSubtotals="1" fieldPosition="0">
        <references count="1">
          <reference field="0" count="1">
            <x v="0"/>
          </reference>
        </references>
      </pivotArea>
    </format>
    <format dxfId="372">
      <pivotArea outline="0" collapsedLevelsAreSubtotals="1" fieldPosition="0"/>
    </format>
    <format dxfId="371">
      <pivotArea field="0" type="button" dataOnly="0" labelOnly="1" outline="0" axis="axisRow" fieldPosition="0"/>
    </format>
    <format dxfId="370">
      <pivotArea dataOnly="0" labelOnly="1" fieldPosition="0">
        <references count="1">
          <reference field="0" count="0"/>
        </references>
      </pivotArea>
    </format>
    <format dxfId="369">
      <pivotArea grandRow="1" outline="0" collapsedLevelsAreSubtotals="1" fieldPosition="0"/>
    </format>
    <format dxfId="368">
      <pivotArea dataOnly="0" labelOnly="1" grandRow="1" outline="0" fieldPosition="0"/>
    </format>
    <format dxfId="367">
      <pivotArea dataOnly="0" grandRow="1" fieldPosition="0"/>
    </format>
    <format dxfId="366">
      <pivotArea dataOnly="0" outline="0" axis="axisValues" fieldPosition="0"/>
    </format>
    <format dxfId="365">
      <pivotArea field="0" type="button" dataOnly="0" labelOnly="1" outline="0" axis="axisRow" fieldPosition="0"/>
    </format>
    <format dxfId="364">
      <pivotArea dataOnly="0" labelOnly="1" grandRow="1" outline="0" fieldPosition="0"/>
    </format>
    <format dxfId="363">
      <pivotArea dataOnly="0" labelOnly="1" grandRow="1" outline="0" fieldPosition="0"/>
    </format>
    <format dxfId="362">
      <pivotArea grandRow="1" outline="0" collapsedLevelsAreSubtotals="1" fieldPosition="0"/>
    </format>
  </formats>
  <chartFormats count="3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5D055E-83CD-467B-9069-3B6303053FF4}" name="Tabela dinâmica7" cacheId="0" applyNumberFormats="0" applyBorderFormats="0" applyFontFormats="0" applyPatternFormats="0" applyAlignmentFormats="0" applyWidthHeightFormats="1" dataCaption="Valores" updatedVersion="8" minRefreshableVersion="3" useAutoFormatting="1" rowGrandTotals="0" itemPrintTitles="1" createdVersion="8" indent="0" compact="0" compactData="0" multipleFieldFilters="0" chartFormat="13">
  <location ref="B7:E13" firstHeaderRow="1" firstDataRow="2" firstDataCol="1"/>
  <pivotFields count="9">
    <pivotField axis="axisCol" dataField="1" compact="0" outline="0" showAll="0" defaultSubtotal="0">
      <items count="2">
        <item x="0"/>
        <item x="1"/>
      </items>
    </pivotField>
    <pivotField axis="axisRow" compact="0" outline="0" showAll="0" defaultSubtotal="0">
      <items count="5">
        <item x="0"/>
        <item x="1"/>
        <item x="2"/>
        <item x="3"/>
        <item x="4"/>
      </items>
    </pivotField>
    <pivotField compact="0" outline="0" showAll="0" defaultSubtotal="0"/>
    <pivotField compact="0" outline="0" showAll="0" defaultSubtotal="0"/>
    <pivotField compact="0" outline="0" showAll="0" defaultSubtotal="0">
      <items count="3">
        <item m="1" x="2"/>
        <item x="0"/>
        <item x="1"/>
      </items>
    </pivotField>
    <pivotField compact="0" outline="0" showAll="0" defaultSubtotal="0">
      <items count="2">
        <item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</pivotFields>
  <rowFields count="1">
    <field x="1"/>
  </rowFields>
  <rowItems count="5">
    <i>
      <x/>
    </i>
    <i>
      <x v="1"/>
    </i>
    <i>
      <x v="2"/>
    </i>
    <i>
      <x v="3"/>
    </i>
    <i>
      <x v="4"/>
    </i>
  </rowItems>
  <colFields count="1">
    <field x="0"/>
  </colFields>
  <colItems count="3">
    <i>
      <x/>
    </i>
    <i>
      <x v="1"/>
    </i>
    <i t="grand">
      <x/>
    </i>
  </colItems>
  <dataFields count="1">
    <dataField name="Classificação" fld="0" subtotal="count" baseField="0" baseItem="0"/>
  </dataFields>
  <formats count="21">
    <format dxfId="79">
      <pivotArea dataOnly="0" outline="0" fieldPosition="0">
        <references count="1">
          <reference field="0" count="1">
            <x v="1"/>
          </reference>
        </references>
      </pivotArea>
    </format>
    <format dxfId="78">
      <pivotArea dataOnly="0" outline="0" fieldPosition="0">
        <references count="1">
          <reference field="0" count="1">
            <x v="0"/>
          </reference>
        </references>
      </pivotArea>
    </format>
    <format dxfId="77">
      <pivotArea dataOnly="0" outline="0" fieldPosition="0">
        <references count="1">
          <reference field="0" count="1">
            <x v="0"/>
          </reference>
        </references>
      </pivotArea>
    </format>
    <format dxfId="76">
      <pivotArea dataOnly="0" outline="0" fieldPosition="0">
        <references count="1">
          <reference field="0" count="1">
            <x v="1"/>
          </reference>
        </references>
      </pivotArea>
    </format>
    <format dxfId="75">
      <pivotArea field="1" type="button" dataOnly="0" labelOnly="1" outline="0" axis="axisRow" fieldPosition="0"/>
    </format>
    <format dxfId="74">
      <pivotArea dataOnly="0" outline="0" fieldPosition="0">
        <references count="1">
          <reference field="1" count="1">
            <x v="0"/>
          </reference>
        </references>
      </pivotArea>
    </format>
    <format dxfId="73">
      <pivotArea dataOnly="0" outline="0" fieldPosition="0">
        <references count="1">
          <reference field="1" count="1">
            <x v="1"/>
          </reference>
        </references>
      </pivotArea>
    </format>
    <format dxfId="72">
      <pivotArea dataOnly="0" outline="0" fieldPosition="0">
        <references count="1">
          <reference field="1" count="1">
            <x v="2"/>
          </reference>
        </references>
      </pivotArea>
    </format>
    <format dxfId="71">
      <pivotArea dataOnly="0" outline="0" fieldPosition="0">
        <references count="1">
          <reference field="1" count="1">
            <x v="3"/>
          </reference>
        </references>
      </pivotArea>
    </format>
    <format dxfId="70">
      <pivotArea dataOnly="0" outline="0" fieldPosition="0">
        <references count="1">
          <reference field="1" count="1">
            <x v="4"/>
          </reference>
        </references>
      </pivotArea>
    </format>
    <format dxfId="69">
      <pivotArea type="origin" dataOnly="0" labelOnly="1" outline="0" fieldPosition="0"/>
    </format>
    <format dxfId="68">
      <pivotArea field="0" type="button" dataOnly="0" labelOnly="1" outline="0" axis="axisCol" fieldPosition="0"/>
    </format>
    <format dxfId="67">
      <pivotArea type="topRight" dataOnly="0" labelOnly="1" outline="0" fieldPosition="0"/>
    </format>
    <format dxfId="66">
      <pivotArea field="0" type="button" dataOnly="0" labelOnly="1" outline="0" axis="axisCol" fieldPosition="0"/>
    </format>
    <format dxfId="65">
      <pivotArea field="0" type="button" dataOnly="0" labelOnly="1" outline="0" axis="axisCol" fieldPosition="0"/>
    </format>
    <format dxfId="64">
      <pivotArea dataOnly="0" outline="0" fieldPosition="0">
        <references count="1">
          <reference field="0" count="1">
            <x v="1"/>
          </reference>
        </references>
      </pivotArea>
    </format>
    <format dxfId="63">
      <pivotArea dataOnly="0" outline="0" fieldPosition="0">
        <references count="1">
          <reference field="0" count="1">
            <x v="0"/>
          </reference>
        </references>
      </pivotArea>
    </format>
    <format dxfId="62">
      <pivotArea dataOnly="0" grandRow="1" outline="0" fieldPosition="0"/>
    </format>
    <format dxfId="61">
      <pivotArea field="1" grandCol="1" outline="0" axis="axisRow" fieldPosition="0">
        <references count="1">
          <reference field="1" count="0" selected="0"/>
        </references>
      </pivotArea>
    </format>
    <format dxfId="60">
      <pivotArea dataOnly="0" labelOnly="1" grandCol="1" outline="0" fieldPosition="0"/>
    </format>
    <format dxfId="59">
      <pivotArea field="0" type="button" dataOnly="0" labelOnly="1" outline="0" axis="axisCol" fieldPosition="0"/>
    </format>
  </format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33C4F8-E42F-48F6-B4A7-FD5082068D62}" name="Tabela dinâmica1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27" rowHeaderCaption="Gênero">
  <location ref="B3:C5" firstHeaderRow="1" firstDataRow="1" firstDataCol="1"/>
  <pivotFields count="9">
    <pivotField axis="axisRow" showAll="0">
      <items count="3">
        <item x="0"/>
        <item x="1"/>
        <item t="default"/>
      </items>
    </pivotField>
    <pivotField showAll="0"/>
    <pivotField showAll="0"/>
    <pivotField dataField="1" showAll="0"/>
    <pivotField showAll="0">
      <items count="4">
        <item m="1" x="2"/>
        <item x="0"/>
        <item x="1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showAll="0"/>
  </pivotFields>
  <rowFields count="1">
    <field x="0"/>
  </rowFields>
  <rowItems count="2">
    <i>
      <x/>
    </i>
    <i>
      <x v="1"/>
    </i>
  </rowItems>
  <colItems count="1">
    <i/>
  </colItems>
  <dataFields count="1">
    <dataField name="Total Participantes" fld="3" subtotal="count" baseField="0" baseItem="0"/>
  </dataFields>
  <formats count="14">
    <format dxfId="93">
      <pivotArea dataOnly="0" labelOnly="1" outline="0" axis="axisValues" fieldPosition="0"/>
    </format>
    <format dxfId="92">
      <pivotArea collapsedLevelsAreSubtotals="1" fieldPosition="0">
        <references count="1">
          <reference field="0" count="1">
            <x v="0"/>
          </reference>
        </references>
      </pivotArea>
    </format>
    <format dxfId="91">
      <pivotArea dataOnly="0" labelOnly="1" fieldPosition="0">
        <references count="1">
          <reference field="0" count="1">
            <x v="0"/>
          </reference>
        </references>
      </pivotArea>
    </format>
    <format dxfId="90">
      <pivotArea collapsedLevelsAreSubtotals="1" fieldPosition="0">
        <references count="1">
          <reference field="0" count="1">
            <x v="1"/>
          </reference>
        </references>
      </pivotArea>
    </format>
    <format dxfId="89">
      <pivotArea dataOnly="0" labelOnly="1" fieldPosition="0">
        <references count="1">
          <reference field="0" count="1">
            <x v="1"/>
          </reference>
        </references>
      </pivotArea>
    </format>
    <format dxfId="88">
      <pivotArea type="all" dataOnly="0" outline="0" fieldPosition="0"/>
    </format>
    <format dxfId="87">
      <pivotArea outline="0" collapsedLevelsAreSubtotals="1" fieldPosition="0"/>
    </format>
    <format dxfId="86">
      <pivotArea field="0" type="button" dataOnly="0" labelOnly="1" outline="0" axis="axisRow" fieldPosition="0"/>
    </format>
    <format dxfId="85">
      <pivotArea dataOnly="0" labelOnly="1" fieldPosition="0">
        <references count="1">
          <reference field="0" count="0"/>
        </references>
      </pivotArea>
    </format>
    <format dxfId="84">
      <pivotArea dataOnly="0" labelOnly="1" outline="0" axis="axisValues" fieldPosition="0"/>
    </format>
    <format dxfId="83">
      <pivotArea field="0" type="button" dataOnly="0" labelOnly="1" outline="0" axis="axisRow" fieldPosition="0"/>
    </format>
    <format dxfId="82">
      <pivotArea field="0" type="button" dataOnly="0" labelOnly="1" outline="0" axis="axisRow" fieldPosition="0"/>
    </format>
    <format dxfId="81">
      <pivotArea field="0" type="button" dataOnly="0" labelOnly="1" outline="0" axis="axisRow" fieldPosition="0"/>
    </format>
    <format dxfId="80">
      <pivotArea field="0" type="button" dataOnly="0" labelOnly="1" outline="0" axis="axisRow" fieldPosition="0"/>
    </format>
  </formats>
  <chartFormats count="3"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D5A398-E2E2-4DA5-990E-78F93BD58BA0}" name="Tabela dinâmica10" cacheId="0" applyNumberFormats="0" applyBorderFormats="0" applyFontFormats="0" applyPatternFormats="0" applyAlignmentFormats="0" applyWidthHeightFormats="1" dataCaption="Valores" updatedVersion="8" minRefreshableVersion="3" useAutoFormatting="1" rowGrandTotals="0" itemPrintTitles="1" createdVersion="8" indent="0" outline="1" outlineData="1" multipleFieldFilters="0" chartFormat="3" rowHeaderCaption="Nivel de educação dos pais" colHeaderCaption="Raça/Etinia">
  <location ref="G3:M10" firstHeaderRow="1" firstDataRow="2" firstDataCol="1"/>
  <pivotFields count="9">
    <pivotField showAll="0" defaultSubtotal="0"/>
    <pivotField axis="axisCol" showAll="0" defaultSubtotal="0">
      <items count="5">
        <item x="0"/>
        <item x="1"/>
        <item x="2"/>
        <item x="3"/>
        <item x="4"/>
      </items>
    </pivotField>
    <pivotField axis="axisRow" showAll="0" defaultSubtotal="0">
      <items count="15">
        <item m="1" x="6"/>
        <item m="1" x="7"/>
        <item m="1" x="13"/>
        <item x="2"/>
        <item m="1" x="10"/>
        <item x="0"/>
        <item x="1"/>
        <item m="1" x="14"/>
        <item m="1" x="12"/>
        <item m="1" x="11"/>
        <item x="3"/>
        <item m="1" x="8"/>
        <item x="4"/>
        <item n="grau de mestrado" x="5"/>
        <item n="grau de mestrado2" m="1" x="9"/>
      </items>
    </pivotField>
    <pivotField dataField="1" showAll="0" defaultSubtotal="0"/>
    <pivotField showAll="0" defaultSubtotal="0">
      <items count="3">
        <item m="1" x="2"/>
        <item x="0"/>
        <item x="1"/>
      </items>
    </pivotField>
    <pivotField showAll="0" defaultSubtotal="0">
      <items count="2">
        <item x="1"/>
        <item x="0"/>
      </items>
    </pivotField>
    <pivotField showAll="0" defaultSubtotal="0"/>
    <pivotField showAll="0" defaultSubtotal="0"/>
    <pivotField showAll="0" defaultSubtotal="0"/>
  </pivotFields>
  <rowFields count="1">
    <field x="2"/>
  </rowFields>
  <rowItems count="6">
    <i>
      <x v="3"/>
    </i>
    <i>
      <x v="5"/>
    </i>
    <i>
      <x v="6"/>
    </i>
    <i>
      <x v="10"/>
    </i>
    <i>
      <x v="12"/>
    </i>
    <i>
      <x v="13"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lassificação" fld="3" subtotal="count" baseField="2" baseItem="0"/>
  </dataFields>
  <formats count="103">
    <format dxfId="196">
      <pivotArea field="1" type="button" dataOnly="0" labelOnly="1" outline="0" axis="axisCol" fieldPosition="0"/>
    </format>
    <format dxfId="195">
      <pivotArea type="origin" dataOnly="0" labelOnly="1" outline="0" fieldPosition="0"/>
    </format>
    <format dxfId="194">
      <pivotArea type="origin" dataOnly="0" labelOnly="1" outline="0" fieldPosition="0"/>
    </format>
    <format dxfId="193">
      <pivotArea field="2" type="button" dataOnly="0" labelOnly="1" outline="0" axis="axisRow" fieldPosition="0"/>
    </format>
    <format dxfId="192">
      <pivotArea dataOnly="0" labelOnly="1" outline="0" fieldPosition="0">
        <references count="1">
          <reference field="2" count="0"/>
        </references>
      </pivotArea>
    </format>
    <format dxfId="191">
      <pivotArea type="all" dataOnly="0" outline="0" fieldPosition="0"/>
    </format>
    <format dxfId="190">
      <pivotArea type="origin" dataOnly="0" labelOnly="1" outline="0" fieldPosition="0"/>
    </format>
    <format dxfId="189">
      <pivotArea field="1" type="button" dataOnly="0" labelOnly="1" outline="0" axis="axisCol" fieldPosition="0"/>
    </format>
    <format dxfId="188">
      <pivotArea type="topRight" dataOnly="0" labelOnly="1" outline="0" fieldPosition="0"/>
    </format>
    <format dxfId="187">
      <pivotArea dataOnly="0" labelOnly="1" outline="0" fieldPosition="0">
        <references count="1">
          <reference field="1" count="0"/>
        </references>
      </pivotArea>
    </format>
    <format dxfId="186">
      <pivotArea outline="0" fieldPosition="0">
        <references count="1">
          <reference field="1" count="1" selected="0">
            <x v="0"/>
          </reference>
        </references>
      </pivotArea>
    </format>
    <format dxfId="185">
      <pivotArea field="1" type="button" dataOnly="0" labelOnly="1" outline="0" axis="axisCol" fieldPosition="0"/>
    </format>
    <format dxfId="184">
      <pivotArea dataOnly="0" labelOnly="1" outline="0" fieldPosition="0">
        <references count="1">
          <reference field="1" count="1">
            <x v="0"/>
          </reference>
        </references>
      </pivotArea>
    </format>
    <format dxfId="183">
      <pivotArea outline="0" fieldPosition="0">
        <references count="1">
          <reference field="1" count="4" selected="0">
            <x v="1"/>
            <x v="2"/>
            <x v="3"/>
            <x v="4"/>
          </reference>
        </references>
      </pivotArea>
    </format>
    <format dxfId="182">
      <pivotArea type="topRight" dataOnly="0" labelOnly="1" outline="0" fieldPosition="0"/>
    </format>
    <format dxfId="181">
      <pivotArea dataOnly="0" labelOnly="1" outline="0" fieldPosition="0">
        <references count="1">
          <reference field="1" count="4">
            <x v="1"/>
            <x v="2"/>
            <x v="3"/>
            <x v="4"/>
          </reference>
        </references>
      </pivotArea>
    </format>
    <format dxfId="180">
      <pivotArea outline="0" fieldPosition="0">
        <references count="1">
          <reference field="1" count="4" selected="0">
            <x v="1"/>
            <x v="2"/>
            <x v="3"/>
            <x v="4"/>
          </reference>
        </references>
      </pivotArea>
    </format>
    <format dxfId="179">
      <pivotArea type="topRight" dataOnly="0" labelOnly="1" outline="0" fieldPosition="0"/>
    </format>
    <format dxfId="178">
      <pivotArea dataOnly="0" labelOnly="1" outline="0" fieldPosition="0">
        <references count="1">
          <reference field="1" count="4">
            <x v="1"/>
            <x v="2"/>
            <x v="3"/>
            <x v="4"/>
          </reference>
        </references>
      </pivotArea>
    </format>
    <format dxfId="177">
      <pivotArea type="origin" dataOnly="0" labelOnly="1" outline="0" fieldPosition="0"/>
    </format>
    <format dxfId="176">
      <pivotArea type="all" dataOnly="0" outline="0" fieldPosition="0"/>
    </format>
    <format dxfId="175">
      <pivotArea outline="0" collapsedLevelsAreSubtotals="1" fieldPosition="0"/>
    </format>
    <format dxfId="174">
      <pivotArea type="origin" dataOnly="0" labelOnly="1" outline="0" fieldPosition="0"/>
    </format>
    <format dxfId="173">
      <pivotArea field="1" type="button" dataOnly="0" labelOnly="1" outline="0" axis="axisCol" fieldPosition="0"/>
    </format>
    <format dxfId="172">
      <pivotArea type="topRight" dataOnly="0" labelOnly="1" outline="0" fieldPosition="0"/>
    </format>
    <format dxfId="171">
      <pivotArea field="2" type="button" dataOnly="0" labelOnly="1" outline="0" axis="axisRow" fieldPosition="0"/>
    </format>
    <format dxfId="170">
      <pivotArea dataOnly="0" labelOnly="1" outline="0" fieldPosition="0">
        <references count="1">
          <reference field="2" count="0"/>
        </references>
      </pivotArea>
    </format>
    <format dxfId="169">
      <pivotArea dataOnly="0" labelOnly="1" outline="0" fieldPosition="0">
        <references count="1">
          <reference field="1" count="0"/>
        </references>
      </pivotArea>
    </format>
    <format dxfId="168">
      <pivotArea dataOnly="0" outline="0" fieldPosition="0">
        <references count="1">
          <reference field="2" count="1">
            <x v="0"/>
          </reference>
        </references>
      </pivotArea>
    </format>
    <format dxfId="167">
      <pivotArea dataOnly="0" outline="0" fieldPosition="0">
        <references count="1">
          <reference field="2" count="1">
            <x v="1"/>
          </reference>
        </references>
      </pivotArea>
    </format>
    <format dxfId="166">
      <pivotArea dataOnly="0" outline="0" fieldPosition="0">
        <references count="1">
          <reference field="2" count="1">
            <x v="4"/>
          </reference>
        </references>
      </pivotArea>
    </format>
    <format dxfId="165">
      <pivotArea dataOnly="0" outline="0" fieldPosition="0">
        <references count="1">
          <reference field="2" count="1">
            <x v="6"/>
          </reference>
        </references>
      </pivotArea>
    </format>
    <format dxfId="164">
      <pivotArea dataOnly="0" outline="0" fieldPosition="0">
        <references count="1">
          <reference field="2" count="1">
            <x v="11"/>
          </reference>
        </references>
      </pivotArea>
    </format>
    <format dxfId="163">
      <pivotArea dataOnly="0" outline="0" fieldPosition="0">
        <references count="1">
          <reference field="2" count="1">
            <x v="13"/>
          </reference>
        </references>
      </pivotArea>
    </format>
    <format dxfId="162">
      <pivotArea dataOnly="0" outline="0" fieldPosition="0">
        <references count="1">
          <reference field="2" count="1">
            <x v="0"/>
          </reference>
        </references>
      </pivotArea>
    </format>
    <format dxfId="161">
      <pivotArea dataOnly="0" outline="0" fieldPosition="0">
        <references count="1">
          <reference field="2" count="1">
            <x v="1"/>
          </reference>
        </references>
      </pivotArea>
    </format>
    <format dxfId="160">
      <pivotArea dataOnly="0" outline="0" fieldPosition="0">
        <references count="1">
          <reference field="2" count="1">
            <x v="4"/>
          </reference>
        </references>
      </pivotArea>
    </format>
    <format dxfId="159">
      <pivotArea dataOnly="0" outline="0" fieldPosition="0">
        <references count="1">
          <reference field="2" count="1">
            <x v="6"/>
          </reference>
        </references>
      </pivotArea>
    </format>
    <format dxfId="158">
      <pivotArea dataOnly="0" outline="0" fieldPosition="0">
        <references count="1">
          <reference field="2" count="1">
            <x v="11"/>
          </reference>
        </references>
      </pivotArea>
    </format>
    <format dxfId="157">
      <pivotArea dataOnly="0" outline="0" fieldPosition="0">
        <references count="1">
          <reference field="2" count="1">
            <x v="13"/>
          </reference>
        </references>
      </pivotArea>
    </format>
    <format dxfId="156">
      <pivotArea dataOnly="0" outline="0" fieldPosition="0">
        <references count="1">
          <reference field="2" count="1">
            <x v="0"/>
          </reference>
        </references>
      </pivotArea>
    </format>
    <format dxfId="155">
      <pivotArea dataOnly="0" outline="0" fieldPosition="0">
        <references count="1">
          <reference field="2" count="1">
            <x v="1"/>
          </reference>
        </references>
      </pivotArea>
    </format>
    <format dxfId="154">
      <pivotArea outline="0" fieldPosition="0">
        <references count="1">
          <reference field="2" count="4" selected="0">
            <x v="4"/>
            <x v="6"/>
            <x v="11"/>
            <x v="13"/>
          </reference>
        </references>
      </pivotArea>
    </format>
    <format dxfId="153">
      <pivotArea dataOnly="0" labelOnly="1" outline="0" fieldPosition="0">
        <references count="1">
          <reference field="2" count="4">
            <x v="4"/>
            <x v="6"/>
            <x v="11"/>
            <x v="13"/>
          </reference>
        </references>
      </pivotArea>
    </format>
    <format dxfId="152">
      <pivotArea outline="0" fieldPosition="0">
        <references count="1">
          <reference field="2" count="4" selected="0">
            <x v="4"/>
            <x v="6"/>
            <x v="11"/>
            <x v="13"/>
          </reference>
        </references>
      </pivotArea>
    </format>
    <format dxfId="151">
      <pivotArea dataOnly="0" labelOnly="1" outline="0" fieldPosition="0">
        <references count="1">
          <reference field="2" count="4">
            <x v="4"/>
            <x v="6"/>
            <x v="11"/>
            <x v="13"/>
          </reference>
        </references>
      </pivotArea>
    </format>
    <format dxfId="150">
      <pivotArea outline="0" fieldPosition="0">
        <references count="1">
          <reference field="2" count="4" selected="0">
            <x v="4"/>
            <x v="6"/>
            <x v="11"/>
            <x v="13"/>
          </reference>
        </references>
      </pivotArea>
    </format>
    <format dxfId="149">
      <pivotArea dataOnly="0" labelOnly="1" outline="0" fieldPosition="0">
        <references count="1">
          <reference field="2" count="4">
            <x v="4"/>
            <x v="6"/>
            <x v="11"/>
            <x v="13"/>
          </reference>
        </references>
      </pivotArea>
    </format>
    <format dxfId="148">
      <pivotArea type="all" dataOnly="0" outline="0" fieldPosition="0"/>
    </format>
    <format dxfId="147">
      <pivotArea outline="0" collapsedLevelsAreSubtotals="1" fieldPosition="0"/>
    </format>
    <format dxfId="146">
      <pivotArea type="topRight" dataOnly="0" labelOnly="1" outline="0" fieldPosition="0"/>
    </format>
    <format dxfId="145">
      <pivotArea field="1" type="button" dataOnly="0" labelOnly="1" outline="0" axis="axisCol" fieldPosition="0"/>
    </format>
    <format dxfId="144">
      <pivotArea dataOnly="0" labelOnly="1" outline="0" fieldPosition="0">
        <references count="1">
          <reference field="1" count="0"/>
        </references>
      </pivotArea>
    </format>
    <format dxfId="143">
      <pivotArea dataOnly="0" labelOnly="1" outline="0" fieldPosition="0">
        <references count="1">
          <reference field="2" count="0"/>
        </references>
      </pivotArea>
    </format>
    <format dxfId="142">
      <pivotArea dataOnly="0" outline="0" fieldPosition="0">
        <references count="1">
          <reference field="2" count="1">
            <x v="4"/>
          </reference>
        </references>
      </pivotArea>
    </format>
    <format dxfId="141">
      <pivotArea dataOnly="0" outline="0" fieldPosition="0">
        <references count="1">
          <reference field="2" count="1">
            <x v="6"/>
          </reference>
        </references>
      </pivotArea>
    </format>
    <format dxfId="140">
      <pivotArea dataOnly="0" outline="0" fieldPosition="0">
        <references count="1">
          <reference field="2" count="1">
            <x v="11"/>
          </reference>
        </references>
      </pivotArea>
    </format>
    <format dxfId="139">
      <pivotArea dataOnly="0" outline="0" fieldPosition="0">
        <references count="1">
          <reference field="2" count="1">
            <x v="13"/>
          </reference>
        </references>
      </pivotArea>
    </format>
    <format dxfId="138">
      <pivotArea dataOnly="0" outline="0" fieldPosition="0">
        <references count="1">
          <reference field="2" count="1">
            <x v="13"/>
          </reference>
        </references>
      </pivotArea>
    </format>
    <format dxfId="137">
      <pivotArea dataOnly="0" outline="0" fieldPosition="0">
        <references count="1">
          <reference field="2" count="1">
            <x v="7"/>
          </reference>
        </references>
      </pivotArea>
    </format>
    <format dxfId="136">
      <pivotArea dataOnly="0" outline="0" fieldPosition="0">
        <references count="1">
          <reference field="2" count="1">
            <x v="7"/>
          </reference>
        </references>
      </pivotArea>
    </format>
    <format dxfId="135">
      <pivotArea dataOnly="0" outline="0" fieldPosition="0">
        <references count="1">
          <reference field="2" count="1">
            <x v="10"/>
          </reference>
        </references>
      </pivotArea>
    </format>
    <format dxfId="134">
      <pivotArea field="1" type="button" dataOnly="0" labelOnly="1" outline="0" axis="axisCol" fieldPosition="0"/>
    </format>
    <format dxfId="133">
      <pivotArea type="origin" dataOnly="0" labelOnly="1" outline="0" fieldPosition="0"/>
    </format>
    <format dxfId="132">
      <pivotArea field="2" type="button" dataOnly="0" labelOnly="1" outline="0" axis="axisRow" fieldPosition="0"/>
    </format>
    <format dxfId="131">
      <pivotArea dataOnly="0" labelOnly="1" fieldPosition="0">
        <references count="1">
          <reference field="2" count="0"/>
        </references>
      </pivotArea>
    </format>
    <format dxfId="130">
      <pivotArea outline="0" collapsedLevelsAreSubtotals="1" fieldPosition="0"/>
    </format>
    <format dxfId="129">
      <pivotArea field="1" type="button" dataOnly="0" labelOnly="1" outline="0" axis="axisCol" fieldPosition="0"/>
    </format>
    <format dxfId="128">
      <pivotArea type="topRight" dataOnly="0" labelOnly="1" outline="0" fieldPosition="0"/>
    </format>
    <format dxfId="127">
      <pivotArea dataOnly="0" labelOnly="1" fieldPosition="0">
        <references count="1">
          <reference field="1" count="0"/>
        </references>
      </pivotArea>
    </format>
    <format dxfId="126">
      <pivotArea outline="0" collapsedLevelsAreSubtotals="1" fieldPosition="0">
        <references count="1">
          <reference field="1" count="1" selected="0">
            <x v="0"/>
          </reference>
        </references>
      </pivotArea>
    </format>
    <format dxfId="125">
      <pivotArea dataOnly="0" labelOnly="1" fieldPosition="0">
        <references count="1">
          <reference field="1" count="1">
            <x v="0"/>
          </reference>
        </references>
      </pivotArea>
    </format>
    <format dxfId="124">
      <pivotArea dataOnly="0" outline="0" fieldPosition="0">
        <references count="1">
          <reference field="1" count="1">
            <x v="1"/>
          </reference>
        </references>
      </pivotArea>
    </format>
    <format dxfId="123">
      <pivotArea dataOnly="0" outline="0" fieldPosition="0">
        <references count="1">
          <reference field="1" count="1">
            <x v="2"/>
          </reference>
        </references>
      </pivotArea>
    </format>
    <format dxfId="122">
      <pivotArea dataOnly="0" outline="0" fieldPosition="0">
        <references count="1">
          <reference field="1" count="1">
            <x v="3"/>
          </reference>
        </references>
      </pivotArea>
    </format>
    <format dxfId="121">
      <pivotArea dataOnly="0" outline="0" fieldPosition="0">
        <references count="1">
          <reference field="1" count="1">
            <x v="4"/>
          </reference>
        </references>
      </pivotArea>
    </format>
    <format dxfId="120">
      <pivotArea type="origin" dataOnly="0" labelOnly="1" outline="0" fieldPosition="0"/>
    </format>
    <format dxfId="119">
      <pivotArea field="2" type="button" dataOnly="0" labelOnly="1" outline="0" axis="axisRow" fieldPosition="0"/>
    </format>
    <format dxfId="118">
      <pivotArea dataOnly="0" labelOnly="1" fieldPosition="0">
        <references count="1">
          <reference field="1" count="1">
            <x v="0"/>
          </reference>
        </references>
      </pivotArea>
    </format>
    <format dxfId="117">
      <pivotArea dataOnly="0" labelOnly="1" fieldPosition="0">
        <references count="1">
          <reference field="1" count="1">
            <x v="1"/>
          </reference>
        </references>
      </pivotArea>
    </format>
    <format dxfId="116">
      <pivotArea dataOnly="0" labelOnly="1" fieldPosition="0">
        <references count="1">
          <reference field="1" count="1">
            <x v="2"/>
          </reference>
        </references>
      </pivotArea>
    </format>
    <format dxfId="115">
      <pivotArea dataOnly="0" labelOnly="1" fieldPosition="0">
        <references count="1">
          <reference field="1" count="1">
            <x v="3"/>
          </reference>
        </references>
      </pivotArea>
    </format>
    <format dxfId="114">
      <pivotArea dataOnly="0" labelOnly="1" fieldPosition="0">
        <references count="1">
          <reference field="1" count="1">
            <x v="4"/>
          </reference>
        </references>
      </pivotArea>
    </format>
    <format dxfId="113">
      <pivotArea dataOnly="0" labelOnly="1" fieldPosition="0">
        <references count="1">
          <reference field="2" count="0"/>
        </references>
      </pivotArea>
    </format>
    <format dxfId="112">
      <pivotArea field="2" type="button" dataOnly="0" labelOnly="1" outline="0" axis="axisRow" fieldPosition="0"/>
    </format>
    <format dxfId="111">
      <pivotArea dataOnly="0" fieldPosition="0">
        <references count="1">
          <reference field="2" count="1">
            <x v="2"/>
          </reference>
        </references>
      </pivotArea>
    </format>
    <format dxfId="110">
      <pivotArea dataOnly="0" fieldPosition="0">
        <references count="1">
          <reference field="2" count="1">
            <x v="5"/>
          </reference>
        </references>
      </pivotArea>
    </format>
    <format dxfId="109">
      <pivotArea dataOnly="0" fieldPosition="0">
        <references count="1">
          <reference field="2" count="1">
            <x v="6"/>
          </reference>
        </references>
      </pivotArea>
    </format>
    <format dxfId="108">
      <pivotArea dataOnly="0" fieldPosition="0">
        <references count="1">
          <reference field="2" count="1">
            <x v="10"/>
          </reference>
        </references>
      </pivotArea>
    </format>
    <format dxfId="107">
      <pivotArea dataOnly="0" fieldPosition="0">
        <references count="1">
          <reference field="2" count="1">
            <x v="12"/>
          </reference>
        </references>
      </pivotArea>
    </format>
    <format dxfId="106">
      <pivotArea dataOnly="0" fieldPosition="0">
        <references count="1">
          <reference field="2" count="1">
            <x v="2"/>
          </reference>
        </references>
      </pivotArea>
    </format>
    <format dxfId="105">
      <pivotArea dataOnly="0" fieldPosition="0">
        <references count="1">
          <reference field="2" count="1">
            <x v="5"/>
          </reference>
        </references>
      </pivotArea>
    </format>
    <format dxfId="104">
      <pivotArea dataOnly="0" fieldPosition="0">
        <references count="1">
          <reference field="2" count="1">
            <x v="6"/>
          </reference>
        </references>
      </pivotArea>
    </format>
    <format dxfId="103">
      <pivotArea dataOnly="0" fieldPosition="0">
        <references count="1">
          <reference field="2" count="1">
            <x v="10"/>
          </reference>
        </references>
      </pivotArea>
    </format>
    <format dxfId="102">
      <pivotArea dataOnly="0" fieldPosition="0">
        <references count="1">
          <reference field="2" count="1">
            <x v="10"/>
          </reference>
        </references>
      </pivotArea>
    </format>
    <format dxfId="101">
      <pivotArea dataOnly="0" fieldPosition="0">
        <references count="1">
          <reference field="2" count="1">
            <x v="6"/>
          </reference>
        </references>
      </pivotArea>
    </format>
    <format dxfId="100">
      <pivotArea dataOnly="0" fieldPosition="0">
        <references count="1">
          <reference field="2" count="1">
            <x v="12"/>
          </reference>
        </references>
      </pivotArea>
    </format>
    <format dxfId="99">
      <pivotArea dataOnly="0" fieldPosition="0">
        <references count="1">
          <reference field="2" count="1">
            <x v="13"/>
          </reference>
        </references>
      </pivotArea>
    </format>
    <format dxfId="98">
      <pivotArea dataOnly="0" fieldPosition="0">
        <references count="1">
          <reference field="2" count="1">
            <x v="13"/>
          </reference>
        </references>
      </pivotArea>
    </format>
    <format dxfId="97">
      <pivotArea dataOnly="0" labelOnly="1" grandCol="1" outline="0" fieldPosition="0"/>
    </format>
    <format dxfId="96">
      <pivotArea grandCol="1" outline="0" collapsedLevelsAreSubtotals="1" fieldPosition="0"/>
    </format>
    <format dxfId="95">
      <pivotArea dataOnly="0" fieldPosition="0">
        <references count="1">
          <reference field="2" count="1">
            <x v="3"/>
          </reference>
        </references>
      </pivotArea>
    </format>
    <format dxfId="94">
      <pivotArea dataOnly="0" fieldPosition="0">
        <references count="1">
          <reference field="2" count="1">
            <x v="3"/>
          </reference>
        </references>
      </pivotArea>
    </format>
  </formats>
  <chartFormats count="5"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6AAD8D-7904-4972-BC73-40F31E04972C}" name="Tabela dinâmica14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5" rowHeaderCaption="Nível de educação dos pais" colHeaderCaption="Gênero">
  <location ref="G13:I20" firstHeaderRow="1" firstDataRow="2" firstDataCol="1"/>
  <pivotFields count="9">
    <pivotField axis="axisCol" showAll="0">
      <items count="3">
        <item x="0"/>
        <item x="1"/>
        <item t="default"/>
      </items>
    </pivotField>
    <pivotField showAll="0"/>
    <pivotField axis="axisRow" showAll="0" nonAutoSortDefault="1">
      <items count="16">
        <item x="2"/>
        <item x="0"/>
        <item x="1"/>
        <item x="3"/>
        <item x="4"/>
        <item n="grau de mestrado" x="5"/>
        <item m="1" x="13"/>
        <item m="1" x="12"/>
        <item m="1" x="14"/>
        <item m="1" x="10"/>
        <item m="1" x="8"/>
        <item m="1" x="6"/>
        <item m="1" x="7"/>
        <item m="1" x="11"/>
        <item n="grau de mestrado2" m="1" x="9"/>
        <item t="default"/>
      </items>
    </pivotField>
    <pivotField dataField="1" showAll="0"/>
    <pivotField showAll="0">
      <items count="4">
        <item m="1" x="2"/>
        <item x="0"/>
        <item x="1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showAll="0"/>
  </pivotFields>
  <rowFields count="1">
    <field x="2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0"/>
  </colFields>
  <colItems count="2">
    <i>
      <x/>
    </i>
    <i>
      <x v="1"/>
    </i>
  </colItems>
  <dataFields count="1">
    <dataField name="Classificação" fld="3" subtotal="count" baseField="0" baseItem="0"/>
  </dataFields>
  <formats count="65">
    <format dxfId="261">
      <pivotArea type="origin" dataOnly="0" labelOnly="1" outline="0" fieldPosition="0"/>
    </format>
    <format dxfId="260">
      <pivotArea field="0" type="button" dataOnly="0" labelOnly="1" outline="0" axis="axisCol" fieldPosition="0"/>
    </format>
    <format dxfId="259">
      <pivotArea outline="0" collapsedLevelsAreSubtotals="1" fieldPosition="0"/>
    </format>
    <format dxfId="258">
      <pivotArea field="2" type="button" dataOnly="0" labelOnly="1" outline="0" axis="axisRow" fieldPosition="0"/>
    </format>
    <format dxfId="257">
      <pivotArea dataOnly="0" labelOnly="1" fieldPosition="0">
        <references count="1">
          <reference field="2" count="0"/>
        </references>
      </pivotArea>
    </format>
    <format dxfId="256">
      <pivotArea dataOnly="0" labelOnly="1" grandRow="1" outline="0" fieldPosition="0"/>
    </format>
    <format dxfId="255">
      <pivotArea dataOnly="0" labelOnly="1" fieldPosition="0">
        <references count="1">
          <reference field="0" count="0"/>
        </references>
      </pivotArea>
    </format>
    <format dxfId="254">
      <pivotArea type="all" dataOnly="0" outline="0" fieldPosition="0"/>
    </format>
    <format dxfId="253">
      <pivotArea outline="0" collapsedLevelsAreSubtotals="1" fieldPosition="0"/>
    </format>
    <format dxfId="252">
      <pivotArea type="origin" dataOnly="0" labelOnly="1" outline="0" fieldPosition="0"/>
    </format>
    <format dxfId="251">
      <pivotArea field="0" type="button" dataOnly="0" labelOnly="1" outline="0" axis="axisCol" fieldPosition="0"/>
    </format>
    <format dxfId="250">
      <pivotArea type="topRight" dataOnly="0" labelOnly="1" outline="0" fieldPosition="0"/>
    </format>
    <format dxfId="249">
      <pivotArea field="2" type="button" dataOnly="0" labelOnly="1" outline="0" axis="axisRow" fieldPosition="0"/>
    </format>
    <format dxfId="248">
      <pivotArea dataOnly="0" labelOnly="1" fieldPosition="0">
        <references count="1">
          <reference field="2" count="0"/>
        </references>
      </pivotArea>
    </format>
    <format dxfId="247">
      <pivotArea dataOnly="0" labelOnly="1" fieldPosition="0">
        <references count="1">
          <reference field="0" count="0"/>
        </references>
      </pivotArea>
    </format>
    <format dxfId="246">
      <pivotArea dataOnly="0" outline="0" fieldPosition="0">
        <references count="1">
          <reference field="0" count="1">
            <x v="0"/>
          </reference>
        </references>
      </pivotArea>
    </format>
    <format dxfId="245">
      <pivotArea dataOnly="0" outline="0" fieldPosition="0">
        <references count="1">
          <reference field="0" count="1">
            <x v="1"/>
          </reference>
        </references>
      </pivotArea>
    </format>
    <format dxfId="244">
      <pivotArea dataOnly="0" outline="0" fieldPosition="0">
        <references count="1">
          <reference field="0" count="1">
            <x v="0"/>
          </reference>
        </references>
      </pivotArea>
    </format>
    <format dxfId="243">
      <pivotArea dataOnly="0" outline="0" fieldPosition="0">
        <references count="1">
          <reference field="0" count="1">
            <x v="1"/>
          </reference>
        </references>
      </pivotArea>
    </format>
    <format dxfId="242">
      <pivotArea field="2" type="button" dataOnly="0" labelOnly="1" outline="0" axis="axisRow" fieldPosition="0"/>
    </format>
    <format dxfId="241">
      <pivotArea dataOnly="0" labelOnly="1" fieldPosition="0">
        <references count="1">
          <reference field="2" count="0"/>
        </references>
      </pivotArea>
    </format>
    <format dxfId="240">
      <pivotArea dataOnly="0" fieldPosition="0">
        <references count="1">
          <reference field="2" count="1">
            <x v="11"/>
          </reference>
        </references>
      </pivotArea>
    </format>
    <format dxfId="239">
      <pivotArea dataOnly="0" fieldPosition="0">
        <references count="1">
          <reference field="2" count="1">
            <x v="12"/>
          </reference>
        </references>
      </pivotArea>
    </format>
    <format dxfId="238">
      <pivotArea dataOnly="0" fieldPosition="0">
        <references count="1">
          <reference field="2" count="1">
            <x v="9"/>
          </reference>
        </references>
      </pivotArea>
    </format>
    <format dxfId="237">
      <pivotArea dataOnly="0" fieldPosition="0">
        <references count="1">
          <reference field="2" count="1">
            <x v="2"/>
          </reference>
        </references>
      </pivotArea>
    </format>
    <format dxfId="236">
      <pivotArea dataOnly="0" fieldPosition="0">
        <references count="1">
          <reference field="2" count="1">
            <x v="10"/>
          </reference>
        </references>
      </pivotArea>
    </format>
    <format dxfId="235">
      <pivotArea field="0" type="button" dataOnly="0" labelOnly="1" outline="0" axis="axisCol" fieldPosition="0"/>
    </format>
    <format dxfId="234">
      <pivotArea type="origin" dataOnly="0" labelOnly="1" outline="0" fieldPosition="0"/>
    </format>
    <format dxfId="233">
      <pivotArea type="origin" dataOnly="0" labelOnly="1" outline="0" fieldPosition="0"/>
    </format>
    <format dxfId="232">
      <pivotArea field="0" type="button" dataOnly="0" labelOnly="1" outline="0" axis="axisCol" fieldPosition="0"/>
    </format>
    <format dxfId="231">
      <pivotArea type="topRight" dataOnly="0" labelOnly="1" outline="0" fieldPosition="0"/>
    </format>
    <format dxfId="230">
      <pivotArea dataOnly="0" labelOnly="1" fieldPosition="0">
        <references count="1">
          <reference field="2" count="1">
            <x v="9"/>
          </reference>
        </references>
      </pivotArea>
    </format>
    <format dxfId="229">
      <pivotArea dataOnly="0" labelOnly="1" fieldPosition="0">
        <references count="1">
          <reference field="2" count="1">
            <x v="2"/>
          </reference>
        </references>
      </pivotArea>
    </format>
    <format dxfId="228">
      <pivotArea dataOnly="0" labelOnly="1" fieldPosition="0">
        <references count="1">
          <reference field="2" count="1">
            <x v="10"/>
          </reference>
        </references>
      </pivotArea>
    </format>
    <format dxfId="227">
      <pivotArea dataOnly="0" labelOnly="1" fieldPosition="0">
        <references count="1">
          <reference field="2" count="1">
            <x v="5"/>
          </reference>
        </references>
      </pivotArea>
    </format>
    <format dxfId="226">
      <pivotArea dataOnly="0" labelOnly="1" fieldPosition="0">
        <references count="1">
          <reference field="2" count="1">
            <x v="8"/>
          </reference>
        </references>
      </pivotArea>
    </format>
    <format dxfId="225">
      <pivotArea dataOnly="0" labelOnly="1" fieldPosition="0">
        <references count="1">
          <reference field="2" count="1">
            <x v="3"/>
          </reference>
        </references>
      </pivotArea>
    </format>
    <format dxfId="224">
      <pivotArea dataOnly="0" labelOnly="1" fieldPosition="0">
        <references count="1">
          <reference field="2" count="1">
            <x v="9"/>
          </reference>
        </references>
      </pivotArea>
    </format>
    <format dxfId="223">
      <pivotArea dataOnly="0" labelOnly="1" fieldPosition="0">
        <references count="1">
          <reference field="2" count="1">
            <x v="2"/>
          </reference>
        </references>
      </pivotArea>
    </format>
    <format dxfId="222">
      <pivotArea dataOnly="0" labelOnly="1" fieldPosition="0">
        <references count="1">
          <reference field="2" count="1">
            <x v="10"/>
          </reference>
        </references>
      </pivotArea>
    </format>
    <format dxfId="221">
      <pivotArea dataOnly="0" labelOnly="1" fieldPosition="0">
        <references count="1">
          <reference field="2" count="1">
            <x v="5"/>
          </reference>
        </references>
      </pivotArea>
    </format>
    <format dxfId="220">
      <pivotArea dataOnly="0" labelOnly="1" fieldPosition="0">
        <references count="1">
          <reference field="2" count="1">
            <x v="8"/>
          </reference>
        </references>
      </pivotArea>
    </format>
    <format dxfId="219">
      <pivotArea dataOnly="0" labelOnly="1" fieldPosition="0">
        <references count="1">
          <reference field="2" count="1">
            <x v="3"/>
          </reference>
        </references>
      </pivotArea>
    </format>
    <format dxfId="218">
      <pivotArea field="0" type="button" dataOnly="0" labelOnly="1" outline="0" axis="axisCol" fieldPosition="0"/>
    </format>
    <format dxfId="217">
      <pivotArea dataOnly="0" labelOnly="1" fieldPosition="0">
        <references count="1">
          <reference field="2" count="0"/>
        </references>
      </pivotArea>
    </format>
    <format dxfId="216">
      <pivotArea dataOnly="0" labelOnly="1" fieldPosition="0">
        <references count="1">
          <reference field="2" count="1">
            <x v="8"/>
          </reference>
        </references>
      </pivotArea>
    </format>
    <format dxfId="215">
      <pivotArea dataOnly="0" fieldPosition="0">
        <references count="1">
          <reference field="2" count="1">
            <x v="5"/>
          </reference>
        </references>
      </pivotArea>
    </format>
    <format dxfId="214">
      <pivotArea dataOnly="0" fieldPosition="0">
        <references count="1">
          <reference field="2" count="1">
            <x v="8"/>
          </reference>
        </references>
      </pivotArea>
    </format>
    <format dxfId="213">
      <pivotArea dataOnly="0" fieldPosition="0">
        <references count="1">
          <reference field="2" count="1">
            <x v="6"/>
          </reference>
        </references>
      </pivotArea>
    </format>
    <format dxfId="212">
      <pivotArea dataOnly="0" fieldPosition="0">
        <references count="1">
          <reference field="2" count="1">
            <x v="1"/>
          </reference>
        </references>
      </pivotArea>
    </format>
    <format dxfId="211">
      <pivotArea dataOnly="0" fieldPosition="0">
        <references count="1">
          <reference field="2" count="1">
            <x v="3"/>
          </reference>
        </references>
      </pivotArea>
    </format>
    <format dxfId="210">
      <pivotArea dataOnly="0" fieldPosition="0">
        <references count="1">
          <reference field="2" count="1">
            <x v="4"/>
          </reference>
        </references>
      </pivotArea>
    </format>
    <format dxfId="209">
      <pivotArea type="origin" dataOnly="0" labelOnly="1" outline="0" fieldPosition="0"/>
    </format>
    <format dxfId="208">
      <pivotArea type="origin" dataOnly="0" labelOnly="1" outline="0" fieldPosition="0"/>
    </format>
    <format dxfId="207">
      <pivotArea dataOnly="0" labelOnly="1" fieldPosition="0">
        <references count="1">
          <reference field="2" count="1">
            <x v="6"/>
          </reference>
        </references>
      </pivotArea>
    </format>
    <format dxfId="206">
      <pivotArea dataOnly="0" labelOnly="1" fieldPosition="0">
        <references count="1">
          <reference field="2" count="1">
            <x v="1"/>
          </reference>
        </references>
      </pivotArea>
    </format>
    <format dxfId="205">
      <pivotArea dataOnly="0" labelOnly="1" fieldPosition="0">
        <references count="1">
          <reference field="2" count="1">
            <x v="2"/>
          </reference>
        </references>
      </pivotArea>
    </format>
    <format dxfId="204">
      <pivotArea dataOnly="0" labelOnly="1" fieldPosition="0">
        <references count="1">
          <reference field="2" count="1">
            <x v="3"/>
          </reference>
        </references>
      </pivotArea>
    </format>
    <format dxfId="203">
      <pivotArea dataOnly="0" labelOnly="1" fieldPosition="0">
        <references count="1">
          <reference field="2" count="1">
            <x v="4"/>
          </reference>
        </references>
      </pivotArea>
    </format>
    <format dxfId="202">
      <pivotArea dataOnly="0" labelOnly="1" fieldPosition="0">
        <references count="1">
          <reference field="2" count="1">
            <x v="5"/>
          </reference>
        </references>
      </pivotArea>
    </format>
    <format dxfId="201">
      <pivotArea field="0" type="button" dataOnly="0" labelOnly="1" outline="0" axis="axisCol" fieldPosition="0"/>
    </format>
    <format dxfId="200">
      <pivotArea dataOnly="0" labelOnly="1" fieldPosition="0">
        <references count="1">
          <reference field="2" count="1">
            <x v="1"/>
          </reference>
        </references>
      </pivotArea>
    </format>
    <format dxfId="199">
      <pivotArea dataOnly="0" labelOnly="1" fieldPosition="0">
        <references count="1">
          <reference field="2" count="1">
            <x v="0"/>
          </reference>
        </references>
      </pivotArea>
    </format>
    <format dxfId="198">
      <pivotArea dataOnly="0" labelOnly="1" fieldPosition="0">
        <references count="1">
          <reference field="2" count="1">
            <x v="4"/>
          </reference>
        </references>
      </pivotArea>
    </format>
    <format dxfId="197">
      <pivotArea dataOnly="0" fieldPosition="0">
        <references count="1">
          <reference field="2" count="1">
            <x v="0"/>
          </reference>
        </references>
      </pivotArea>
    </format>
  </formats>
  <chartFormats count="2">
    <chartFormat chart="4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EA9C8B-54C4-431A-ADAD-AA6512D898ED}" name="Tabela dinâmica4" cacheId="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rowHeaderCaption="Lanche">
  <location ref="H8:I10" firstHeaderRow="1" firstDataRow="1" firstDataCol="1"/>
  <pivotFields count="9">
    <pivotField showAll="0"/>
    <pivotField showAll="0"/>
    <pivotField showAll="0"/>
    <pivotField dataField="1" showAll="0"/>
    <pivotField axis="axisRow" showAll="0">
      <items count="5">
        <item m="1" x="3"/>
        <item x="0"/>
        <item m="1" x="2"/>
        <item x="1"/>
        <item t="default"/>
      </items>
    </pivotField>
    <pivotField showAll="0"/>
    <pivotField showAll="0"/>
    <pivotField showAll="0"/>
    <pivotField showAll="0"/>
  </pivotFields>
  <rowFields count="1">
    <field x="4"/>
  </rowFields>
  <rowItems count="2">
    <i>
      <x v="1"/>
    </i>
    <i>
      <x v="3"/>
    </i>
  </rowItems>
  <colItems count="1">
    <i/>
  </colItems>
  <dataFields count="1">
    <dataField name="Quantidade" fld="3" subtotal="count" baseField="4" baseItem="0"/>
  </dataFields>
  <formats count="10">
    <format dxfId="9">
      <pivotArea type="all" dataOnly="0" outline="0" fieldPosition="0"/>
    </format>
    <format dxfId="8">
      <pivotArea dataOnly="0" labelOnly="1" outline="0" axis="axisValues" fieldPosition="0"/>
    </format>
    <format dxfId="7">
      <pivotArea grandRow="1" outline="0" collapsedLevelsAreSubtotals="1" fieldPosition="0"/>
    </format>
    <format dxfId="6">
      <pivotArea grandRow="1" outline="0" collapsedLevelsAreSubtotals="1" fieldPosition="0"/>
    </format>
    <format dxfId="5">
      <pivotArea dataOnly="0" labelOnly="1" outline="0" axis="axisValues" fieldPosition="0"/>
    </format>
    <format dxfId="4">
      <pivotArea type="all" dataOnly="0" outline="0" fieldPosition="0"/>
    </format>
    <format dxfId="3">
      <pivotArea outline="0" collapsedLevelsAreSubtotals="1" fieldPosition="0"/>
    </format>
    <format dxfId="2">
      <pivotArea field="4" type="button" dataOnly="0" labelOnly="1" outline="0" axis="axisRow" fieldPosition="0"/>
    </format>
    <format dxfId="1">
      <pivotArea dataOnly="0" labelOnly="1" fieldPosition="0">
        <references count="1">
          <reference field="4" count="0"/>
        </references>
      </pivotArea>
    </format>
    <format dxfId="0">
      <pivotArea dataOnly="0" labelOnly="1" outline="0" axis="axisValues" fieldPosition="0"/>
    </format>
  </formats>
  <pivotTableStyleInfo name="PivotStyleLight2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B9F425-763A-4181-867B-FF15FE120B76}" name="Tabela dinâmica3" cacheId="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rowHeaderCaption="Curso Preparatório">
  <location ref="H3:I5" firstHeaderRow="1" firstDataRow="1" firstDataCol="1"/>
  <pivotFields count="9">
    <pivotField showAll="0"/>
    <pivotField showAll="0"/>
    <pivotField showAll="0"/>
    <pivotField dataField="1" showAll="0"/>
    <pivotField showAll="0"/>
    <pivotField axis="axisRow" showAll="0">
      <items count="4">
        <item x="1"/>
        <item x="0"/>
        <item h="1" m="1" x="2"/>
        <item t="default"/>
      </items>
    </pivotField>
    <pivotField showAll="0"/>
    <pivotField showAll="0"/>
    <pivotField showAll="0"/>
  </pivotFields>
  <rowFields count="1">
    <field x="5"/>
  </rowFields>
  <rowItems count="2">
    <i>
      <x/>
    </i>
    <i>
      <x v="1"/>
    </i>
  </rowItems>
  <colItems count="1">
    <i/>
  </colItems>
  <dataFields count="1">
    <dataField name="Quantidade" fld="3" subtotal="count" baseField="5" baseItem="0"/>
  </dataFields>
  <formats count="10">
    <format dxfId="19">
      <pivotArea type="all" dataOnly="0" outline="0" fieldPosition="0"/>
    </format>
    <format dxfId="18">
      <pivotArea dataOnly="0" labelOnly="1" outline="0" axis="axisValues" fieldPosition="0"/>
    </format>
    <format dxfId="17">
      <pivotArea grandRow="1" outline="0" collapsedLevelsAreSubtotals="1" fieldPosition="0"/>
    </format>
    <format dxfId="16">
      <pivotArea grandRow="1" outline="0" collapsedLevelsAreSubtotals="1" fieldPosition="0"/>
    </format>
    <format dxfId="15">
      <pivotArea dataOnly="0" labelOnly="1" outline="0" axis="axisValues" fieldPosition="0"/>
    </format>
    <format dxfId="14">
      <pivotArea type="all" dataOnly="0" outline="0" fieldPosition="0"/>
    </format>
    <format dxfId="13">
      <pivotArea outline="0" collapsedLevelsAreSubtotals="1" fieldPosition="0"/>
    </format>
    <format dxfId="12">
      <pivotArea field="5" type="button" dataOnly="0" labelOnly="1" outline="0" axis="axisRow" fieldPosition="0"/>
    </format>
    <format dxfId="11">
      <pivotArea dataOnly="0" labelOnly="1" fieldPosition="0">
        <references count="1">
          <reference field="5" count="0"/>
        </references>
      </pivotArea>
    </format>
    <format dxfId="10">
      <pivotArea dataOnly="0" labelOnly="1" outline="0" axis="axisValues" fieldPosition="0"/>
    </format>
  </formats>
  <pivotTableStyleInfo name="PivotStyleLight2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BADC61-D12D-45AF-B765-077126E4096D}" name="Tabela Raça/Etnia" cacheId="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2" rowHeaderCaption="Raça/Etnia">
  <location ref="E3:F8" firstHeaderRow="1" firstDataRow="1" firstDataCol="1"/>
  <pivotFields count="9">
    <pivotField showAll="0"/>
    <pivotField axis="axisRow" showAll="0">
      <items count="7">
        <item x="0"/>
        <item x="1"/>
        <item x="2"/>
        <item x="3"/>
        <item x="4"/>
        <item h="1" m="1" x="5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1"/>
    </i>
    <i>
      <x v="2"/>
    </i>
    <i>
      <x v="3"/>
    </i>
    <i>
      <x v="4"/>
    </i>
  </rowItems>
  <colItems count="1">
    <i/>
  </colItems>
  <dataFields count="1">
    <dataField name="Quantidade" fld="3" subtotal="count" baseField="1" baseItem="0"/>
  </dataFields>
  <formats count="11">
    <format dxfId="30">
      <pivotArea type="all" dataOnly="0" outline="0" fieldPosition="0"/>
    </format>
    <format dxfId="29">
      <pivotArea dataOnly="0" labelOnly="1" outline="0" axis="axisValues" fieldPosition="0"/>
    </format>
    <format dxfId="28">
      <pivotArea dataOnly="0" labelOnly="1" outline="0" axis="axisValues" fieldPosition="0"/>
    </format>
    <format dxfId="27">
      <pivotArea type="all" dataOnly="0" outline="0" fieldPosition="0"/>
    </format>
    <format dxfId="26">
      <pivotArea grandRow="1" outline="0" collapsedLevelsAreSubtotals="1" fieldPosition="0"/>
    </format>
    <format dxfId="25">
      <pivotArea grandRow="1" outline="0" collapsedLevelsAreSubtotals="1" fieldPosition="0"/>
    </format>
    <format dxfId="24">
      <pivotArea type="all" dataOnly="0" outline="0" fieldPosition="0"/>
    </format>
    <format dxfId="23">
      <pivotArea outline="0" collapsedLevelsAreSubtotals="1" fieldPosition="0"/>
    </format>
    <format dxfId="22">
      <pivotArea field="1" type="button" dataOnly="0" labelOnly="1" outline="0" axis="axisRow" fieldPosition="0"/>
    </format>
    <format dxfId="21">
      <pivotArea dataOnly="0" labelOnly="1" fieldPosition="0">
        <references count="1">
          <reference field="1" count="0"/>
        </references>
      </pivotArea>
    </format>
    <format dxfId="20">
      <pivotArea dataOnly="0" labelOnly="1" outline="0" axis="axisValues" fieldPosition="0"/>
    </format>
  </formats>
  <chartFormats count="7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</chartFormats>
  <pivotTableStyleInfo name="PivotStyleLight2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7BF96C-D28B-4C31-BF49-42AF93EA7039}" name="Tabela Gênero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" rowHeaderCaption="Gênero">
  <location ref="B3:C6" firstHeaderRow="1" firstDataRow="1" firstDataCol="1"/>
  <pivotFields count="9">
    <pivotField axis="axisRow" showAll="0">
      <items count="4">
        <item x="0"/>
        <item x="1"/>
        <item h="1" m="1" x="2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Quantidade" fld="3" subtotal="count" baseField="0" baseItem="0"/>
  </dataFields>
  <formats count="14">
    <format dxfId="44">
      <pivotArea dataOnly="0" outline="0" axis="axisValues" fieldPosition="0"/>
    </format>
    <format dxfId="43">
      <pivotArea dataOnly="0" labelOnly="1" outline="0" axis="axisValues" fieldPosition="0"/>
    </format>
    <format dxfId="42">
      <pivotArea type="all" dataOnly="0" outline="0" fieldPosition="0"/>
    </format>
    <format dxfId="41">
      <pivotArea outline="0" collapsedLevelsAreSubtotals="1" fieldPosition="0"/>
    </format>
    <format dxfId="40">
      <pivotArea field="0" type="button" dataOnly="0" labelOnly="1" outline="0" axis="axisRow" fieldPosition="0"/>
    </format>
    <format dxfId="39">
      <pivotArea dataOnly="0" labelOnly="1" grandRow="1" outline="0" fieldPosition="0"/>
    </format>
    <format dxfId="38">
      <pivotArea dataOnly="0" labelOnly="1" outline="0" axis="axisValues" fieldPosition="0"/>
    </format>
    <format dxfId="37">
      <pivotArea grandRow="1" outline="0" collapsedLevelsAreSubtotals="1" fieldPosition="0"/>
    </format>
    <format dxfId="36">
      <pivotArea grandRow="1" outline="0" collapsedLevelsAreSubtotals="1" fieldPosition="0"/>
    </format>
    <format dxfId="35">
      <pivotArea type="all" dataOnly="0" outline="0" fieldPosition="0"/>
    </format>
    <format dxfId="34">
      <pivotArea outline="0" collapsedLevelsAreSubtotals="1" fieldPosition="0"/>
    </format>
    <format dxfId="33">
      <pivotArea field="0" type="button" dataOnly="0" labelOnly="1" outline="0" axis="axisRow" fieldPosition="0"/>
    </format>
    <format dxfId="32">
      <pivotArea dataOnly="0" labelOnly="1" grandRow="1" outline="0" fieldPosition="0"/>
    </format>
    <format dxfId="31">
      <pivotArea dataOnly="0" labelOnly="1" outline="0" axis="axisValues" fieldPosition="0"/>
    </format>
  </formats>
  <chartFormats count="4">
    <chartFormat chart="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1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TableStyleInfo name="PivotStyleLight2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58487-E8A9-4B9B-8864-744671BF9B23}" name="Tabela dinâmica5" cacheId="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rowHeaderCaption="Formação dos pais">
  <location ref="K3:L9" firstHeaderRow="1" firstDataRow="1" firstDataCol="1"/>
  <pivotFields count="9">
    <pivotField showAll="0"/>
    <pivotField showAll="0"/>
    <pivotField axis="axisRow" showAll="0" sortType="ascending">
      <items count="8">
        <item x="2"/>
        <item x="0"/>
        <item x="1"/>
        <item x="3"/>
        <item x="4"/>
        <item x="5"/>
        <item h="1" m="1" x="6"/>
        <item t="default"/>
      </items>
    </pivotField>
    <pivotField dataField="1" showAll="0"/>
    <pivotField showAll="0"/>
    <pivotField showAll="0"/>
    <pivotField showAll="0"/>
    <pivotField showAll="0"/>
    <pivotField showAll="0"/>
  </pivotFields>
  <rowFields count="1">
    <field x="2"/>
  </rowFields>
  <rowItems count="6">
    <i>
      <x/>
    </i>
    <i>
      <x v="1"/>
    </i>
    <i>
      <x v="2"/>
    </i>
    <i>
      <x v="3"/>
    </i>
    <i>
      <x v="4"/>
    </i>
    <i>
      <x v="5"/>
    </i>
  </rowItems>
  <colItems count="1">
    <i/>
  </colItems>
  <dataFields count="1">
    <dataField name="Quantidade" fld="3" subtotal="count" baseField="2" baseItem="0"/>
  </dataFields>
  <formats count="8">
    <format dxfId="52">
      <pivotArea type="all" dataOnly="0" outline="0" fieldPosition="0"/>
    </format>
    <format dxfId="51">
      <pivotArea dataOnly="0" labelOnly="1" outline="0" axis="axisValues" fieldPosition="0"/>
    </format>
    <format dxfId="50">
      <pivotArea dataOnly="0" labelOnly="1" outline="0" axis="axisValues" fieldPosition="0"/>
    </format>
    <format dxfId="49">
      <pivotArea type="all" dataOnly="0" outline="0" fieldPosition="0"/>
    </format>
    <format dxfId="48">
      <pivotArea outline="0" collapsedLevelsAreSubtotals="1" fieldPosition="0"/>
    </format>
    <format dxfId="47">
      <pivotArea field="2" type="button" dataOnly="0" labelOnly="1" outline="0" axis="axisRow" fieldPosition="0"/>
    </format>
    <format dxfId="46">
      <pivotArea dataOnly="0" labelOnly="1" fieldPosition="0">
        <references count="1">
          <reference field="2" count="0"/>
        </references>
      </pivotArea>
    </format>
    <format dxfId="45">
      <pivotArea dataOnly="0" labelOnly="1" outline="0" axis="axisValues" fieldPosition="0"/>
    </format>
  </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urso_de_preparação_para_o_teste" xr10:uid="{0E50F3AF-EAF4-422B-818A-210DEE3CE4F1}" sourceName="Curso de preparação para o teste">
  <pivotTables>
    <pivotTable tabId="6" name="Tabela dinâmica11"/>
    <pivotTable tabId="6" name="Tabela dinâmica17"/>
    <pivotTable tabId="6" name="Tabela dinâmica2"/>
    <pivotTable tabId="6" name="Tabela dinâmica4"/>
    <pivotTable tabId="6" name="Tabela dinâmica5"/>
    <pivotTable tabId="6" name="Tabela dinâmica6"/>
    <pivotTable tabId="22" name="Tabela dinâmica1"/>
    <pivotTable tabId="22" name="Tabela dinâmica7"/>
    <pivotTable tabId="22" name="Tabela dinâmica10"/>
    <pivotTable tabId="22" name="Tabela dinâmica14"/>
  </pivotTables>
  <data>
    <tabular pivotCacheId="1566020040">
      <items count="2">
        <i x="1" s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Lanche1" xr10:uid="{03131829-F794-49CC-8D47-B2B62CB6DFD2}" sourceName="Lanche">
  <pivotTables>
    <pivotTable tabId="6" name="Tabela dinâmica4"/>
    <pivotTable tabId="6" name="Tabela dinâmica17"/>
    <pivotTable tabId="6" name="Tabela dinâmica11"/>
    <pivotTable tabId="6" name="Tabela dinâmica2"/>
    <pivotTable tabId="6" name="Tabela dinâmica5"/>
    <pivotTable tabId="6" name="Tabela dinâmica6"/>
    <pivotTable tabId="22" name="Tabela dinâmica1"/>
    <pivotTable tabId="22" name="Tabela dinâmica7"/>
    <pivotTable tabId="22" name="Tabela dinâmica10"/>
    <pivotTable tabId="22" name="Tabela dinâmica14"/>
  </pivotTables>
  <data>
    <tabular pivotCacheId="1566020040" showMissing="0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urso de preparação para o teste" xr10:uid="{DF2DD8E8-EE7E-4C06-9751-6B2B6A0C5876}" cache="SegmentaçãodeDados_Curso_de_preparação_para_o_teste" caption="Curso de Preparação" style="SlicerStyleOther1" rowHeight="241300"/>
  <slicer name="Lanche" xr10:uid="{094815C3-B6D5-457B-913E-3A02FCC962B4}" cache="SegmentaçãodeDados_Lanche1" caption="Teve Lanche" style="SlicerStyleDark5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urso de preparação para o teste 1" xr10:uid="{78A09AC6-EFD7-4D84-9004-4AEDE11D1A24}" cache="SegmentaçãodeDados_Curso_de_preparação_para_o_teste" caption="Curso de Preparação" style="SlicerStyleOther1" rowHeight="241300"/>
  <slicer name="Lanche 1" xr10:uid="{4CA85DBA-97A5-4B52-9D0E-9A6130356D59}" cache="SegmentaçãodeDados_Lanche1" caption="Teve Lanche" style="SlicerStyleDark5" rowHeight="241300"/>
</slicers>
</file>

<file path=xl/theme/theme1.xml><?xml version="1.0" encoding="utf-8"?>
<a:theme xmlns:a="http://schemas.openxmlformats.org/drawingml/2006/main" name="Tema do Office">
  <a:themeElements>
    <a:clrScheme name="Vermelho Violeta">
      <a:dk1>
        <a:sysClr val="windowText" lastClr="000000"/>
      </a:dk1>
      <a:lt1>
        <a:sysClr val="window" lastClr="FFFFFF"/>
      </a:lt1>
      <a:dk2>
        <a:srgbClr val="454551"/>
      </a:dk2>
      <a:lt2>
        <a:srgbClr val="D8D9DC"/>
      </a:lt2>
      <a:accent1>
        <a:srgbClr val="E32D91"/>
      </a:accent1>
      <a:accent2>
        <a:srgbClr val="C830CC"/>
      </a:accent2>
      <a:accent3>
        <a:srgbClr val="4EA6DC"/>
      </a:accent3>
      <a:accent4>
        <a:srgbClr val="4775E7"/>
      </a:accent4>
      <a:accent5>
        <a:srgbClr val="8971E1"/>
      </a:accent5>
      <a:accent6>
        <a:srgbClr val="D54773"/>
      </a:accent6>
      <a:hlink>
        <a:srgbClr val="6B9F25"/>
      </a:hlink>
      <a:folHlink>
        <a:srgbClr val="8C8C8C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13" Type="http://schemas.openxmlformats.org/officeDocument/2006/relationships/ctrlProp" Target="../ctrlProps/ctrlProp4.xml"/><Relationship Id="rId3" Type="http://schemas.openxmlformats.org/officeDocument/2006/relationships/pivotTable" Target="../pivotTables/pivotTable3.xml"/><Relationship Id="rId7" Type="http://schemas.openxmlformats.org/officeDocument/2006/relationships/printerSettings" Target="../printerSettings/printerSettings1.bin"/><Relationship Id="rId12" Type="http://schemas.openxmlformats.org/officeDocument/2006/relationships/ctrlProp" Target="../ctrlProps/ctrlProp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ctrlProp" Target="../ctrlProps/ctrlProp2.xml"/><Relationship Id="rId5" Type="http://schemas.openxmlformats.org/officeDocument/2006/relationships/pivotTable" Target="../pivotTables/pivotTable5.xml"/><Relationship Id="rId10" Type="http://schemas.openxmlformats.org/officeDocument/2006/relationships/ctrlProp" Target="../ctrlProps/ctrlProp1.xml"/><Relationship Id="rId4" Type="http://schemas.openxmlformats.org/officeDocument/2006/relationships/pivotTable" Target="../pivotTables/pivotTable4.xml"/><Relationship Id="rId9" Type="http://schemas.openxmlformats.org/officeDocument/2006/relationships/vmlDrawing" Target="../drawings/vmlDrawing1.vml"/><Relationship Id="rId1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microsoft.com/office/2007/relationships/slicer" Target="../slicers/slicer2.xml"/><Relationship Id="rId3" Type="http://schemas.openxmlformats.org/officeDocument/2006/relationships/pivotTable" Target="../pivotTables/pivotTable9.xml"/><Relationship Id="rId7" Type="http://schemas.openxmlformats.org/officeDocument/2006/relationships/vmlDrawing" Target="../drawings/vmlDrawing3.vml"/><Relationship Id="rId12" Type="http://schemas.openxmlformats.org/officeDocument/2006/relationships/ctrlProp" Target="../ctrlProps/ctrlProp10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6" Type="http://schemas.openxmlformats.org/officeDocument/2006/relationships/drawing" Target="../drawings/drawing3.xml"/><Relationship Id="rId11" Type="http://schemas.openxmlformats.org/officeDocument/2006/relationships/ctrlProp" Target="../ctrlProps/ctrlProp9.xml"/><Relationship Id="rId5" Type="http://schemas.openxmlformats.org/officeDocument/2006/relationships/printerSettings" Target="../printerSettings/printerSettings3.bin"/><Relationship Id="rId10" Type="http://schemas.openxmlformats.org/officeDocument/2006/relationships/ctrlProp" Target="../ctrlProps/ctrlProp8.xml"/><Relationship Id="rId4" Type="http://schemas.openxmlformats.org/officeDocument/2006/relationships/pivotTable" Target="../pivotTables/pivotTable10.xml"/><Relationship Id="rId9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ctrlProp" Target="../ctrlProps/ctrlProp12.xml"/><Relationship Id="rId7" Type="http://schemas.openxmlformats.org/officeDocument/2006/relationships/ctrlProp" Target="../ctrlProps/ctrlProp16.xml"/><Relationship Id="rId12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5.xml"/><Relationship Id="rId11" Type="http://schemas.openxmlformats.org/officeDocument/2006/relationships/ctrlProp" Target="../ctrlProps/ctrlProp20.xml"/><Relationship Id="rId5" Type="http://schemas.openxmlformats.org/officeDocument/2006/relationships/ctrlProp" Target="../ctrlProps/ctrlProp14.xml"/><Relationship Id="rId10" Type="http://schemas.openxmlformats.org/officeDocument/2006/relationships/ctrlProp" Target="../ctrlProps/ctrlProp19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pivotTable" Target="../pivotTables/pivotTable13.xml"/><Relationship Id="rId7" Type="http://schemas.openxmlformats.org/officeDocument/2006/relationships/vmlDrawing" Target="../drawings/vmlDrawing6.vml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Relationship Id="rId6" Type="http://schemas.openxmlformats.org/officeDocument/2006/relationships/drawing" Target="../drawings/drawing6.xml"/><Relationship Id="rId5" Type="http://schemas.openxmlformats.org/officeDocument/2006/relationships/pivotTable" Target="../pivotTables/pivotTable15.xml"/><Relationship Id="rId4" Type="http://schemas.openxmlformats.org/officeDocument/2006/relationships/pivotTable" Target="../pivotTables/pivotTable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63CEB-4027-4B83-A5EF-41AEFEF41A67}">
  <sheetPr codeName="Planilha2"/>
  <dimension ref="A1:O51"/>
  <sheetViews>
    <sheetView showGridLines="0" topLeftCell="A2" zoomScaleNormal="100" workbookViewId="0">
      <selection activeCell="F3" sqref="F3"/>
    </sheetView>
  </sheetViews>
  <sheetFormatPr defaultColWidth="9.140625" defaultRowHeight="15" x14ac:dyDescent="0.25"/>
  <cols>
    <col min="1" max="1" width="9.140625" style="3"/>
    <col min="2" max="2" width="11.140625" style="3" bestFit="1" customWidth="1"/>
    <col min="3" max="3" width="27.28515625" style="3" bestFit="1" customWidth="1"/>
    <col min="4" max="4" width="10" style="3" customWidth="1"/>
    <col min="5" max="5" width="12.28515625" style="3" bestFit="1" customWidth="1"/>
    <col min="6" max="6" width="27.28515625" style="3" bestFit="1" customWidth="1"/>
    <col min="7" max="7" width="6.5703125" style="5" customWidth="1"/>
    <col min="8" max="8" width="12.28515625" style="5" bestFit="1" customWidth="1"/>
    <col min="9" max="9" width="27.28515625" style="5" bestFit="1" customWidth="1"/>
    <col min="10" max="10" width="7.5703125" style="5" bestFit="1" customWidth="1"/>
    <col min="11" max="11" width="24.28515625" style="5" bestFit="1" customWidth="1"/>
    <col min="12" max="12" width="7.5703125" style="5" bestFit="1" customWidth="1"/>
    <col min="13" max="13" width="20.140625" style="3" bestFit="1" customWidth="1"/>
    <col min="14" max="14" width="19.5703125" style="3" bestFit="1" customWidth="1"/>
    <col min="15" max="15" width="10.140625" style="3" bestFit="1" customWidth="1"/>
    <col min="16" max="16" width="10.7109375" style="3" bestFit="1" customWidth="1"/>
    <col min="17" max="17" width="15.42578125" style="3" bestFit="1" customWidth="1"/>
    <col min="18" max="16384" width="9.140625" style="3"/>
  </cols>
  <sheetData>
    <row r="1" spans="1:12" ht="15.75" hidden="1" thickBot="1" x14ac:dyDescent="0.3">
      <c r="A1" s="29"/>
    </row>
    <row r="2" spans="1:12" ht="32.25" customHeight="1" thickBot="1" x14ac:dyDescent="0.3">
      <c r="A2" s="29"/>
      <c r="G2" s="3"/>
      <c r="H2"/>
      <c r="I2" s="3"/>
      <c r="K2" s="97" t="s">
        <v>69</v>
      </c>
    </row>
    <row r="3" spans="1:12" ht="15.75" customHeight="1" thickBot="1" x14ac:dyDescent="0.3">
      <c r="A3" s="29"/>
      <c r="G3" s="3"/>
      <c r="H3" s="3"/>
      <c r="I3" s="3"/>
    </row>
    <row r="4" spans="1:12" ht="25.5" customHeight="1" thickBot="1" x14ac:dyDescent="0.3">
      <c r="A4" s="29"/>
      <c r="G4" s="3"/>
      <c r="H4" s="3"/>
      <c r="I4" s="3"/>
      <c r="J4" s="3"/>
      <c r="K4" s="58" t="s">
        <v>58</v>
      </c>
    </row>
    <row r="5" spans="1:12" x14ac:dyDescent="0.25">
      <c r="A5" s="29"/>
      <c r="G5" s="3"/>
      <c r="H5" s="3"/>
      <c r="I5" s="3"/>
      <c r="J5" s="3"/>
      <c r="K5" s="11"/>
    </row>
    <row r="6" spans="1:12" x14ac:dyDescent="0.25">
      <c r="A6" s="29"/>
      <c r="G6" s="3"/>
      <c r="H6" s="3"/>
      <c r="I6" s="3"/>
      <c r="J6" s="3"/>
      <c r="K6" s="12"/>
    </row>
    <row r="7" spans="1:12" ht="15.75" thickBot="1" x14ac:dyDescent="0.3">
      <c r="A7" s="29"/>
      <c r="G7" s="3"/>
      <c r="H7" s="3"/>
      <c r="I7" s="3"/>
      <c r="J7" s="3"/>
      <c r="K7" s="13"/>
    </row>
    <row r="8" spans="1:12" ht="15.75" thickBot="1" x14ac:dyDescent="0.3">
      <c r="A8" s="29"/>
      <c r="B8" s="61" t="s">
        <v>0</v>
      </c>
      <c r="C8" s="116" t="s">
        <v>20</v>
      </c>
      <c r="E8" s="62" t="s">
        <v>21</v>
      </c>
      <c r="F8" s="119" t="s">
        <v>20</v>
      </c>
      <c r="G8" s="3"/>
      <c r="H8" s="62" t="s">
        <v>21</v>
      </c>
      <c r="I8" s="120" t="s">
        <v>34</v>
      </c>
      <c r="K8" s="11"/>
    </row>
    <row r="9" spans="1:12" ht="15.75" thickBot="1" x14ac:dyDescent="0.3">
      <c r="A9" s="29"/>
      <c r="B9" s="4" t="s">
        <v>1</v>
      </c>
      <c r="C9" s="90">
        <v>64.774390243902445</v>
      </c>
      <c r="E9" s="63" t="s">
        <v>22</v>
      </c>
      <c r="F9" s="64">
        <v>65.696202531645568</v>
      </c>
      <c r="G9"/>
      <c r="H9" s="65" t="s">
        <v>9</v>
      </c>
      <c r="I9" s="66">
        <v>67.848101265822791</v>
      </c>
      <c r="K9" s="12"/>
    </row>
    <row r="10" spans="1:12" ht="15.75" thickBot="1" x14ac:dyDescent="0.3">
      <c r="A10" s="29"/>
      <c r="B10" s="4" t="s">
        <v>2</v>
      </c>
      <c r="C10" s="90">
        <v>70.75</v>
      </c>
      <c r="E10" s="12" t="s">
        <v>23</v>
      </c>
      <c r="F10" s="9">
        <v>64.070707070707073</v>
      </c>
      <c r="G10"/>
      <c r="H10" s="14" t="s">
        <v>10</v>
      </c>
      <c r="I10" s="15">
        <v>66.717171717171723</v>
      </c>
      <c r="K10" s="13"/>
    </row>
    <row r="11" spans="1:12" ht="16.5" thickTop="1" thickBot="1" x14ac:dyDescent="0.3">
      <c r="A11" s="29"/>
      <c r="B11" s="117" t="s">
        <v>29</v>
      </c>
      <c r="C11" s="118">
        <v>67.81</v>
      </c>
      <c r="D11"/>
      <c r="E11" s="12" t="s">
        <v>26</v>
      </c>
      <c r="F11" s="9">
        <v>65.51083591331269</v>
      </c>
      <c r="G11" s="3"/>
      <c r="H11" s="14" t="s">
        <v>11</v>
      </c>
      <c r="I11" s="15">
        <v>66.804953560371516</v>
      </c>
      <c r="J11" s="3"/>
      <c r="K11" s="11"/>
      <c r="L11" s="3"/>
    </row>
    <row r="12" spans="1:12" ht="16.5" thickTop="1" thickBot="1" x14ac:dyDescent="0.3">
      <c r="A12" s="29"/>
      <c r="D12"/>
      <c r="E12" s="13" t="s">
        <v>24</v>
      </c>
      <c r="F12" s="10">
        <v>68.879377431906619</v>
      </c>
      <c r="G12" s="3"/>
      <c r="H12" s="14" t="s">
        <v>12</v>
      </c>
      <c r="I12" s="15">
        <v>71.05836575875486</v>
      </c>
      <c r="J12" s="3"/>
      <c r="K12" s="59"/>
      <c r="L12" s="3"/>
    </row>
    <row r="13" spans="1:12" ht="15.75" thickBot="1" x14ac:dyDescent="0.3">
      <c r="A13" s="29"/>
      <c r="B13" s="61" t="s">
        <v>0</v>
      </c>
      <c r="C13" s="8" t="s">
        <v>31</v>
      </c>
      <c r="D13"/>
      <c r="E13" s="13" t="s">
        <v>25</v>
      </c>
      <c r="F13" s="10">
        <v>77.426573426573427</v>
      </c>
      <c r="G13" s="3"/>
      <c r="H13" s="14" t="s">
        <v>19</v>
      </c>
      <c r="I13" s="15">
        <v>75.03496503496504</v>
      </c>
      <c r="J13" s="3"/>
      <c r="K13" s="60"/>
      <c r="L13" s="3"/>
    </row>
    <row r="14" spans="1:12" x14ac:dyDescent="0.25">
      <c r="A14" s="29"/>
      <c r="B14" s="4" t="s">
        <v>1</v>
      </c>
      <c r="C14" s="7">
        <v>73.473577235772353</v>
      </c>
      <c r="D14"/>
      <c r="E14"/>
      <c r="F14"/>
      <c r="G14" s="3"/>
      <c r="J14" s="3"/>
      <c r="K14" s="3"/>
      <c r="L14" s="3"/>
    </row>
    <row r="15" spans="1:12" ht="15.75" thickBot="1" x14ac:dyDescent="0.3">
      <c r="A15" s="29"/>
      <c r="B15" s="4" t="s">
        <v>2</v>
      </c>
      <c r="C15" s="7">
        <v>67.387795275590548</v>
      </c>
      <c r="D15"/>
      <c r="G15" s="3"/>
      <c r="J15" s="3"/>
      <c r="K15" s="3"/>
      <c r="L15" s="3"/>
    </row>
    <row r="16" spans="1:12" ht="16.5" thickTop="1" thickBot="1" x14ac:dyDescent="0.3">
      <c r="A16" s="29"/>
      <c r="B16" s="95" t="s">
        <v>29</v>
      </c>
      <c r="C16" s="96">
        <v>70.382000000000005</v>
      </c>
      <c r="D16"/>
      <c r="E16" s="62" t="s">
        <v>21</v>
      </c>
      <c r="F16" s="16" t="s">
        <v>31</v>
      </c>
      <c r="G16" s="3"/>
      <c r="J16" s="3"/>
      <c r="K16" s="141"/>
      <c r="L16" s="3"/>
    </row>
    <row r="17" spans="1:15" ht="16.5" thickTop="1" thickBot="1" x14ac:dyDescent="0.3">
      <c r="A17" s="29"/>
      <c r="D17"/>
      <c r="E17" s="65" t="s">
        <v>9</v>
      </c>
      <c r="F17" s="66">
        <v>69.202531645569621</v>
      </c>
      <c r="G17" s="3"/>
      <c r="H17" s="3"/>
      <c r="I17" s="3"/>
      <c r="J17" s="3"/>
      <c r="K17" s="142"/>
      <c r="L17" s="3"/>
    </row>
    <row r="18" spans="1:15" ht="15.75" thickBot="1" x14ac:dyDescent="0.3">
      <c r="A18" s="29"/>
      <c r="B18" s="61" t="s">
        <v>0</v>
      </c>
      <c r="C18" s="115" t="s">
        <v>34</v>
      </c>
      <c r="E18" s="14" t="s">
        <v>10</v>
      </c>
      <c r="F18" s="15">
        <v>68.530303030303031</v>
      </c>
      <c r="G18" s="3"/>
      <c r="H18" s="3"/>
      <c r="I18" s="3"/>
      <c r="J18" s="3"/>
      <c r="K18" s="142"/>
      <c r="L18" s="3"/>
    </row>
    <row r="19" spans="1:15" ht="15.75" thickBot="1" x14ac:dyDescent="0.3">
      <c r="A19" s="29"/>
      <c r="B19" s="2" t="s">
        <v>1</v>
      </c>
      <c r="C19" s="7">
        <v>73.439024390243901</v>
      </c>
      <c r="E19" s="14" t="s">
        <v>11</v>
      </c>
      <c r="F19" s="15">
        <v>68.609907120743031</v>
      </c>
      <c r="G19" s="3"/>
      <c r="H19" s="3"/>
      <c r="I19" s="3"/>
      <c r="K19" s="142"/>
      <c r="L19" s="3"/>
    </row>
    <row r="20" spans="1:15" ht="15.75" thickBot="1" x14ac:dyDescent="0.3">
      <c r="A20" s="29"/>
      <c r="B20" s="2" t="s">
        <v>2</v>
      </c>
      <c r="C20" s="7">
        <v>64.976377952755911</v>
      </c>
      <c r="E20" s="14" t="s">
        <v>12</v>
      </c>
      <c r="F20" s="15">
        <v>70.929961089494157</v>
      </c>
      <c r="G20" s="3"/>
      <c r="H20" s="3"/>
      <c r="I20" s="3"/>
      <c r="K20" s="143"/>
      <c r="L20" s="3"/>
      <c r="M20"/>
      <c r="N20"/>
      <c r="O20"/>
    </row>
    <row r="21" spans="1:15" ht="16.5" thickTop="1" thickBot="1" x14ac:dyDescent="0.3">
      <c r="A21" s="29"/>
      <c r="B21" s="113" t="s">
        <v>29</v>
      </c>
      <c r="C21" s="114">
        <v>69.14</v>
      </c>
      <c r="E21" s="14" t="s">
        <v>19</v>
      </c>
      <c r="F21" s="15">
        <v>76.615384615384613</v>
      </c>
      <c r="G21" s="3"/>
      <c r="H21"/>
      <c r="I21"/>
      <c r="J21" s="3"/>
      <c r="K21" s="3"/>
      <c r="L21" s="3"/>
    </row>
    <row r="22" spans="1:15" ht="15.75" thickTop="1" x14ac:dyDescent="0.25">
      <c r="A22" s="29"/>
      <c r="E22"/>
      <c r="F22"/>
      <c r="G22" s="3"/>
      <c r="J22" s="3"/>
      <c r="K22" s="3"/>
      <c r="L22" s="3"/>
    </row>
    <row r="23" spans="1:15" x14ac:dyDescent="0.25">
      <c r="A23" s="29"/>
      <c r="G23" s="3"/>
      <c r="H23" s="3"/>
      <c r="I23" s="3"/>
      <c r="J23" s="3"/>
      <c r="K23" s="3"/>
      <c r="L23" s="3"/>
    </row>
    <row r="24" spans="1:15" x14ac:dyDescent="0.25">
      <c r="A24" s="29"/>
      <c r="G24" s="3"/>
      <c r="H24" s="3"/>
      <c r="I24" s="3"/>
      <c r="J24" s="3"/>
      <c r="K24" s="3"/>
      <c r="L24" s="3"/>
    </row>
    <row r="25" spans="1:15" x14ac:dyDescent="0.25">
      <c r="A25" s="29"/>
      <c r="G25" s="3"/>
      <c r="H25" s="3"/>
      <c r="I25" s="3"/>
      <c r="J25" s="3"/>
      <c r="K25" s="3"/>
      <c r="L25" s="3"/>
    </row>
    <row r="26" spans="1:15" x14ac:dyDescent="0.25">
      <c r="G26" s="3"/>
    </row>
    <row r="27" spans="1:15" x14ac:dyDescent="0.25">
      <c r="G27" s="3"/>
    </row>
    <row r="28" spans="1:15" x14ac:dyDescent="0.25">
      <c r="G28" s="3"/>
    </row>
    <row r="29" spans="1:15" x14ac:dyDescent="0.25">
      <c r="G29" s="3"/>
    </row>
    <row r="30" spans="1:15" x14ac:dyDescent="0.25">
      <c r="G30" s="3"/>
    </row>
    <row r="31" spans="1:15" x14ac:dyDescent="0.25">
      <c r="G31" s="3"/>
    </row>
    <row r="32" spans="1:15" x14ac:dyDescent="0.25">
      <c r="G32" s="3"/>
    </row>
    <row r="33" spans="5:7" x14ac:dyDescent="0.25">
      <c r="E33"/>
      <c r="F33"/>
      <c r="G33"/>
    </row>
    <row r="34" spans="5:7" x14ac:dyDescent="0.25">
      <c r="G34"/>
    </row>
    <row r="35" spans="5:7" x14ac:dyDescent="0.25">
      <c r="G35"/>
    </row>
    <row r="36" spans="5:7" x14ac:dyDescent="0.25">
      <c r="G36"/>
    </row>
    <row r="37" spans="5:7" x14ac:dyDescent="0.25">
      <c r="G37"/>
    </row>
    <row r="38" spans="5:7" x14ac:dyDescent="0.25">
      <c r="E38"/>
      <c r="F38"/>
      <c r="G38"/>
    </row>
    <row r="39" spans="5:7" x14ac:dyDescent="0.25">
      <c r="E39"/>
      <c r="F39"/>
      <c r="G39"/>
    </row>
    <row r="40" spans="5:7" x14ac:dyDescent="0.25">
      <c r="E40"/>
      <c r="F40"/>
      <c r="G40"/>
    </row>
    <row r="41" spans="5:7" x14ac:dyDescent="0.25">
      <c r="E41"/>
      <c r="F41"/>
      <c r="G41"/>
    </row>
    <row r="42" spans="5:7" x14ac:dyDescent="0.25">
      <c r="E42"/>
      <c r="F42"/>
      <c r="G42"/>
    </row>
    <row r="43" spans="5:7" x14ac:dyDescent="0.25">
      <c r="E43"/>
      <c r="F43"/>
      <c r="G43"/>
    </row>
    <row r="44" spans="5:7" x14ac:dyDescent="0.25">
      <c r="E44"/>
      <c r="F44"/>
      <c r="G44"/>
    </row>
    <row r="45" spans="5:7" x14ac:dyDescent="0.25">
      <c r="E45"/>
      <c r="F45"/>
      <c r="G45"/>
    </row>
    <row r="46" spans="5:7" x14ac:dyDescent="0.25">
      <c r="E46"/>
      <c r="F46"/>
      <c r="G46"/>
    </row>
    <row r="47" spans="5:7" x14ac:dyDescent="0.25">
      <c r="E47"/>
      <c r="F47"/>
      <c r="G47"/>
    </row>
    <row r="48" spans="5:7" x14ac:dyDescent="0.25">
      <c r="E48"/>
      <c r="F48"/>
      <c r="G48"/>
    </row>
    <row r="49" spans="5:7" x14ac:dyDescent="0.25">
      <c r="E49"/>
      <c r="F49"/>
      <c r="G49"/>
    </row>
    <row r="50" spans="5:7" x14ac:dyDescent="0.25">
      <c r="E50"/>
      <c r="F50"/>
      <c r="G50"/>
    </row>
    <row r="51" spans="5:7" x14ac:dyDescent="0.25">
      <c r="E51"/>
      <c r="F51"/>
      <c r="G51"/>
    </row>
  </sheetData>
  <sheetProtection autoFilter="0"/>
  <mergeCells count="1">
    <mergeCell ref="K16:K20"/>
  </mergeCells>
  <pageMargins left="0.511811024" right="0.511811024" top="0.78740157499999996" bottom="0.78740157499999996" header="0.31496062000000002" footer="0.31496062000000002"/>
  <pageSetup paperSize="9" orientation="portrait" verticalDpi="30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MostrarMatemática">
                <anchor moveWithCells="1" sizeWithCells="1">
                  <from>
                    <xdr:col>10</xdr:col>
                    <xdr:colOff>28575</xdr:colOff>
                    <xdr:row>4</xdr:row>
                    <xdr:rowOff>9525</xdr:rowOff>
                  </from>
                  <to>
                    <xdr:col>10</xdr:col>
                    <xdr:colOff>1657350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1" name="Button 2">
              <controlPr defaultSize="0" print="0" autoFill="0" autoPict="0" macro="[0]!MostarLeitura">
                <anchor moveWithCells="1" sizeWithCells="1">
                  <from>
                    <xdr:col>10</xdr:col>
                    <xdr:colOff>28575</xdr:colOff>
                    <xdr:row>7</xdr:row>
                    <xdr:rowOff>28575</xdr:rowOff>
                  </from>
                  <to>
                    <xdr:col>10</xdr:col>
                    <xdr:colOff>1638300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2" name="Button 3">
              <controlPr defaultSize="0" print="0" autoFill="0" autoPict="0" macro="[0]!MostrarEscrita">
                <anchor moveWithCells="1" sizeWithCells="1">
                  <from>
                    <xdr:col>10</xdr:col>
                    <xdr:colOff>47625</xdr:colOff>
                    <xdr:row>10</xdr:row>
                    <xdr:rowOff>19050</xdr:rowOff>
                  </from>
                  <to>
                    <xdr:col>10</xdr:col>
                    <xdr:colOff>1657350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3" name="Button 4">
              <controlPr defaultSize="0" print="0" autoFill="0" autoPict="0" macro="[0]!Quantidade">
                <anchor moveWithCells="1" sizeWithCells="1">
                  <from>
                    <xdr:col>10</xdr:col>
                    <xdr:colOff>38100</xdr:colOff>
                    <xdr:row>15</xdr:row>
                    <xdr:rowOff>19050</xdr:rowOff>
                  </from>
                  <to>
                    <xdr:col>10</xdr:col>
                    <xdr:colOff>1657350</xdr:colOff>
                    <xdr:row>19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1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01A1C-2EA9-45FE-AF4A-9F650E7CBA4E}">
  <sheetPr codeName="Planilha3"/>
  <dimension ref="A1:AY25"/>
  <sheetViews>
    <sheetView showGridLines="0" zoomScale="90" zoomScaleNormal="90" workbookViewId="0">
      <selection sqref="A1:A25"/>
    </sheetView>
  </sheetViews>
  <sheetFormatPr defaultColWidth="9.140625" defaultRowHeight="15" x14ac:dyDescent="0.25"/>
  <cols>
    <col min="1" max="1" width="9.140625" style="6"/>
    <col min="2" max="2" width="15.85546875" style="6" hidden="1" customWidth="1"/>
    <col min="3" max="3" width="12.28515625" style="6" hidden="1" customWidth="1"/>
    <col min="4" max="4" width="10.140625" style="6" hidden="1" customWidth="1"/>
    <col min="5" max="5" width="10.7109375" style="6" hidden="1" customWidth="1"/>
    <col min="6" max="6" width="13.28515625" style="6" hidden="1" customWidth="1"/>
    <col min="7" max="7" width="13.140625" style="6" hidden="1" customWidth="1"/>
    <col min="8" max="9" width="13.5703125" style="6" hidden="1" customWidth="1"/>
    <col min="10" max="16" width="9.140625" style="6" hidden="1" customWidth="1"/>
    <col min="17" max="17" width="7.140625" style="6" hidden="1" customWidth="1"/>
    <col min="18" max="18" width="9.140625" style="6" customWidth="1"/>
    <col min="19" max="19" width="8.42578125" style="6" hidden="1" customWidth="1"/>
    <col min="20" max="20" width="7.42578125" style="6" hidden="1" customWidth="1"/>
    <col min="21" max="21" width="7.28515625" style="6" hidden="1" customWidth="1"/>
    <col min="22" max="25" width="9.140625" style="6" hidden="1" customWidth="1"/>
    <col min="26" max="26" width="13.7109375" style="6" hidden="1" customWidth="1"/>
    <col min="27" max="27" width="7" style="6" hidden="1" customWidth="1"/>
    <col min="28" max="28" width="7.85546875" style="6" hidden="1" customWidth="1"/>
    <col min="29" max="29" width="9.140625" style="6" hidden="1" customWidth="1"/>
    <col min="30" max="30" width="5.5703125" style="6" hidden="1" customWidth="1"/>
    <col min="31" max="32" width="9.140625" style="6" hidden="1" customWidth="1"/>
    <col min="33" max="33" width="7.5703125" style="6" hidden="1" customWidth="1"/>
    <col min="34" max="34" width="7.85546875" style="6" hidden="1" customWidth="1"/>
    <col min="35" max="35" width="9.140625" style="6" customWidth="1"/>
    <col min="36" max="36" width="7.7109375" style="6" customWidth="1"/>
    <col min="37" max="37" width="7.28515625" style="6" customWidth="1"/>
    <col min="38" max="38" width="4.5703125" style="6" customWidth="1"/>
    <col min="39" max="41" width="9.140625" style="6" customWidth="1"/>
    <col min="42" max="43" width="11.42578125" style="6" customWidth="1"/>
    <col min="44" max="48" width="9.140625" style="6" customWidth="1"/>
    <col min="49" max="49" width="5.42578125" style="6" customWidth="1"/>
    <col min="50" max="50" width="7.140625" style="6" customWidth="1"/>
    <col min="51" max="51" width="7" style="6" customWidth="1"/>
    <col min="52" max="16384" width="9.140625" style="6"/>
  </cols>
  <sheetData>
    <row r="1" spans="1:51" ht="34.5" customHeight="1" x14ac:dyDescent="0.25">
      <c r="A1" s="158" t="s">
        <v>30</v>
      </c>
      <c r="B1" s="192" t="s">
        <v>28</v>
      </c>
      <c r="C1" s="193"/>
      <c r="D1" s="193"/>
      <c r="E1" s="193"/>
      <c r="F1" s="193"/>
      <c r="G1" s="193"/>
      <c r="H1" s="193"/>
      <c r="I1" s="193"/>
      <c r="J1" s="193"/>
      <c r="K1" s="193"/>
      <c r="L1" s="193"/>
      <c r="M1" s="193"/>
      <c r="N1" s="193"/>
      <c r="O1" s="193"/>
      <c r="P1" s="193"/>
      <c r="Q1" s="194"/>
      <c r="R1" s="161" t="s">
        <v>32</v>
      </c>
      <c r="S1" s="165" t="s">
        <v>33</v>
      </c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7"/>
      <c r="AI1" s="203" t="s">
        <v>35</v>
      </c>
      <c r="AJ1" s="206" t="s">
        <v>36</v>
      </c>
      <c r="AK1" s="207"/>
      <c r="AL1" s="207"/>
      <c r="AM1" s="207"/>
      <c r="AN1" s="207"/>
      <c r="AO1" s="207"/>
      <c r="AP1" s="207"/>
      <c r="AQ1" s="207"/>
      <c r="AR1" s="207"/>
      <c r="AS1" s="207"/>
      <c r="AT1" s="207"/>
      <c r="AU1" s="207"/>
      <c r="AV1" s="207"/>
      <c r="AW1" s="207"/>
      <c r="AX1" s="207"/>
      <c r="AY1" s="208"/>
    </row>
    <row r="2" spans="1:51" ht="17.25" customHeight="1" thickBot="1" x14ac:dyDescent="0.3">
      <c r="A2" s="159"/>
      <c r="B2" s="201" t="str">
        <f>IF(H10&lt;70,"Média Geral abaixo do padrão (70) ☹️","")</f>
        <v>Média Geral abaixo do padrão (70) ☹️</v>
      </c>
      <c r="C2" s="201"/>
      <c r="D2" s="201"/>
      <c r="E2" s="201"/>
      <c r="F2" s="201"/>
      <c r="G2" s="201"/>
      <c r="H2" s="201"/>
      <c r="I2" s="201"/>
      <c r="J2" s="201"/>
      <c r="K2" s="201"/>
      <c r="L2" s="201"/>
      <c r="M2" s="201"/>
      <c r="N2" s="201"/>
      <c r="O2" s="201"/>
      <c r="P2" s="201"/>
      <c r="Q2" s="202"/>
      <c r="R2" s="162"/>
      <c r="S2" s="195" t="str">
        <f>IF(Y10&lt;70,"Média Geral abaixo do padrão (70) ☹️","")</f>
        <v/>
      </c>
      <c r="T2" s="196"/>
      <c r="U2" s="196"/>
      <c r="V2" s="196"/>
      <c r="W2" s="196"/>
      <c r="X2" s="196"/>
      <c r="Y2" s="196"/>
      <c r="Z2" s="196"/>
      <c r="AA2" s="196"/>
      <c r="AB2" s="196"/>
      <c r="AC2" s="196"/>
      <c r="AD2" s="196"/>
      <c r="AE2" s="196"/>
      <c r="AF2" s="196"/>
      <c r="AG2" s="196"/>
      <c r="AH2" s="197"/>
      <c r="AI2" s="204"/>
      <c r="AJ2" s="198" t="str">
        <f>IF(AP10&lt;70,"Média Geral abaixo do padrão (70) ☹️","")</f>
        <v>Média Geral abaixo do padrão (70) ☹️</v>
      </c>
      <c r="AK2" s="199"/>
      <c r="AL2" s="199"/>
      <c r="AM2" s="199"/>
      <c r="AN2" s="199"/>
      <c r="AO2" s="199"/>
      <c r="AP2" s="199"/>
      <c r="AQ2" s="199"/>
      <c r="AR2" s="199"/>
      <c r="AS2" s="199"/>
      <c r="AT2" s="199"/>
      <c r="AU2" s="199"/>
      <c r="AV2" s="199"/>
      <c r="AW2" s="199"/>
      <c r="AX2" s="199"/>
      <c r="AY2" s="200"/>
    </row>
    <row r="3" spans="1:51" ht="15.75" thickBot="1" x14ac:dyDescent="0.3">
      <c r="A3" s="159"/>
      <c r="B3" s="175"/>
      <c r="C3" s="175"/>
      <c r="D3" s="175"/>
      <c r="E3" s="175"/>
      <c r="F3" s="175"/>
      <c r="G3" s="175"/>
      <c r="H3" s="173" t="s">
        <v>37</v>
      </c>
      <c r="I3" s="174"/>
      <c r="J3" s="175"/>
      <c r="K3" s="175"/>
      <c r="L3" s="175"/>
      <c r="M3" s="175"/>
      <c r="N3" s="175"/>
      <c r="O3" s="175"/>
      <c r="P3" s="175"/>
      <c r="Q3" s="176"/>
      <c r="R3" s="163"/>
      <c r="S3" s="168"/>
      <c r="T3" s="169"/>
      <c r="U3" s="169"/>
      <c r="V3" s="169"/>
      <c r="W3" s="169"/>
      <c r="X3" s="169"/>
      <c r="Y3" s="173" t="s">
        <v>37</v>
      </c>
      <c r="Z3" s="174"/>
      <c r="AA3" s="175"/>
      <c r="AB3" s="175"/>
      <c r="AC3" s="175"/>
      <c r="AD3" s="175"/>
      <c r="AE3" s="175"/>
      <c r="AF3" s="175"/>
      <c r="AG3" s="175"/>
      <c r="AH3" s="176"/>
      <c r="AI3" s="204"/>
      <c r="AJ3" s="209"/>
      <c r="AK3" s="210"/>
      <c r="AL3" s="210"/>
      <c r="AM3" s="210"/>
      <c r="AN3" s="210"/>
      <c r="AO3" s="210"/>
      <c r="AP3" s="173" t="s">
        <v>37</v>
      </c>
      <c r="AQ3" s="174"/>
      <c r="AR3" s="210"/>
      <c r="AS3" s="210"/>
      <c r="AT3" s="210"/>
      <c r="AU3" s="210"/>
      <c r="AV3" s="210"/>
      <c r="AW3" s="210"/>
      <c r="AX3" s="210"/>
      <c r="AY3" s="211"/>
    </row>
    <row r="4" spans="1:51" x14ac:dyDescent="0.25">
      <c r="A4" s="159"/>
      <c r="B4" s="175"/>
      <c r="C4" s="175"/>
      <c r="D4" s="175"/>
      <c r="E4" s="175"/>
      <c r="F4" s="175"/>
      <c r="G4" s="175"/>
      <c r="H4" s="180">
        <f>MIN(PontuaçãoMatemática)</f>
        <v>15</v>
      </c>
      <c r="I4" s="181"/>
      <c r="J4" s="175"/>
      <c r="K4" s="175"/>
      <c r="L4" s="175"/>
      <c r="M4" s="175"/>
      <c r="N4" s="175"/>
      <c r="O4" s="175"/>
      <c r="P4" s="175"/>
      <c r="Q4" s="176"/>
      <c r="R4" s="163"/>
      <c r="S4" s="168"/>
      <c r="T4" s="169"/>
      <c r="U4" s="169"/>
      <c r="V4" s="169"/>
      <c r="W4" s="169"/>
      <c r="X4" s="169"/>
      <c r="Y4" s="180">
        <f>MIN(PontuaçãoLeitura)</f>
        <v>25</v>
      </c>
      <c r="Z4" s="181"/>
      <c r="AA4" s="175"/>
      <c r="AB4" s="175"/>
      <c r="AC4" s="175"/>
      <c r="AD4" s="175"/>
      <c r="AE4" s="175"/>
      <c r="AF4" s="175"/>
      <c r="AG4" s="175"/>
      <c r="AH4" s="176"/>
      <c r="AI4" s="204"/>
      <c r="AJ4" s="209"/>
      <c r="AK4" s="210"/>
      <c r="AL4" s="210"/>
      <c r="AM4" s="210"/>
      <c r="AN4" s="210"/>
      <c r="AO4" s="210"/>
      <c r="AP4" s="150">
        <f>MIN(PontuaçãoEscrita)</f>
        <v>15</v>
      </c>
      <c r="AQ4" s="151"/>
      <c r="AR4" s="210"/>
      <c r="AS4" s="210"/>
      <c r="AT4" s="210"/>
      <c r="AU4" s="210"/>
      <c r="AV4" s="210"/>
      <c r="AW4" s="210"/>
      <c r="AX4" s="210"/>
      <c r="AY4" s="211"/>
    </row>
    <row r="5" spans="1:51" x14ac:dyDescent="0.25">
      <c r="A5" s="159"/>
      <c r="B5" s="175"/>
      <c r="C5" s="175"/>
      <c r="D5" s="175"/>
      <c r="E5" s="175"/>
      <c r="F5" s="175"/>
      <c r="G5" s="175"/>
      <c r="H5" s="182"/>
      <c r="I5" s="183"/>
      <c r="J5" s="175"/>
      <c r="K5" s="175"/>
      <c r="L5" s="175"/>
      <c r="M5" s="175"/>
      <c r="N5" s="175"/>
      <c r="O5" s="175"/>
      <c r="P5" s="175"/>
      <c r="Q5" s="176"/>
      <c r="R5" s="163"/>
      <c r="S5" s="168"/>
      <c r="T5" s="169"/>
      <c r="U5" s="169"/>
      <c r="V5" s="169"/>
      <c r="W5" s="169"/>
      <c r="X5" s="169"/>
      <c r="Y5" s="182"/>
      <c r="Z5" s="183"/>
      <c r="AA5" s="175"/>
      <c r="AB5" s="175"/>
      <c r="AC5" s="175"/>
      <c r="AD5" s="175"/>
      <c r="AE5" s="175"/>
      <c r="AF5" s="175"/>
      <c r="AG5" s="175"/>
      <c r="AH5" s="176"/>
      <c r="AI5" s="204"/>
      <c r="AJ5" s="209"/>
      <c r="AK5" s="210"/>
      <c r="AL5" s="210"/>
      <c r="AM5" s="210"/>
      <c r="AN5" s="210"/>
      <c r="AO5" s="210"/>
      <c r="AP5" s="152"/>
      <c r="AQ5" s="153"/>
      <c r="AR5" s="210"/>
      <c r="AS5" s="210"/>
      <c r="AT5" s="210"/>
      <c r="AU5" s="210"/>
      <c r="AV5" s="210"/>
      <c r="AW5" s="210"/>
      <c r="AX5" s="210"/>
      <c r="AY5" s="211"/>
    </row>
    <row r="6" spans="1:51" x14ac:dyDescent="0.25">
      <c r="A6" s="159"/>
      <c r="B6" s="175"/>
      <c r="C6" s="175"/>
      <c r="D6" s="175"/>
      <c r="E6" s="175"/>
      <c r="F6" s="175"/>
      <c r="G6" s="175"/>
      <c r="H6" s="182"/>
      <c r="I6" s="183"/>
      <c r="J6" s="175"/>
      <c r="K6" s="175"/>
      <c r="L6" s="175"/>
      <c r="M6" s="175"/>
      <c r="N6" s="175"/>
      <c r="O6" s="175"/>
      <c r="P6" s="175"/>
      <c r="Q6" s="176"/>
      <c r="R6" s="163"/>
      <c r="S6" s="168"/>
      <c r="T6" s="169"/>
      <c r="U6" s="169"/>
      <c r="V6" s="169"/>
      <c r="W6" s="169"/>
      <c r="X6" s="169"/>
      <c r="Y6" s="182"/>
      <c r="Z6" s="183"/>
      <c r="AA6" s="175"/>
      <c r="AB6" s="175"/>
      <c r="AC6" s="175"/>
      <c r="AD6" s="175"/>
      <c r="AE6" s="175"/>
      <c r="AF6" s="175"/>
      <c r="AG6" s="175"/>
      <c r="AH6" s="176"/>
      <c r="AI6" s="204"/>
      <c r="AJ6" s="209"/>
      <c r="AK6" s="210"/>
      <c r="AL6" s="210"/>
      <c r="AM6" s="210"/>
      <c r="AN6" s="210"/>
      <c r="AO6" s="210"/>
      <c r="AP6" s="152"/>
      <c r="AQ6" s="153"/>
      <c r="AR6" s="210"/>
      <c r="AS6" s="210"/>
      <c r="AT6" s="210"/>
      <c r="AU6" s="210"/>
      <c r="AV6" s="210"/>
      <c r="AW6" s="210"/>
      <c r="AX6" s="210"/>
      <c r="AY6" s="211"/>
    </row>
    <row r="7" spans="1:51" x14ac:dyDescent="0.25">
      <c r="A7" s="159"/>
      <c r="B7" s="175"/>
      <c r="C7" s="175"/>
      <c r="D7" s="175"/>
      <c r="E7" s="175"/>
      <c r="F7" s="175"/>
      <c r="G7" s="175"/>
      <c r="H7" s="182"/>
      <c r="I7" s="183"/>
      <c r="J7" s="175"/>
      <c r="K7" s="175"/>
      <c r="L7" s="175"/>
      <c r="M7" s="175"/>
      <c r="N7" s="175"/>
      <c r="O7" s="175"/>
      <c r="P7" s="175"/>
      <c r="Q7" s="176"/>
      <c r="R7" s="163"/>
      <c r="S7" s="168"/>
      <c r="T7" s="169"/>
      <c r="U7" s="169"/>
      <c r="V7" s="169"/>
      <c r="W7" s="169"/>
      <c r="X7" s="169"/>
      <c r="Y7" s="182"/>
      <c r="Z7" s="183"/>
      <c r="AA7" s="175"/>
      <c r="AB7" s="175"/>
      <c r="AC7" s="175"/>
      <c r="AD7" s="175"/>
      <c r="AE7" s="175"/>
      <c r="AF7" s="175"/>
      <c r="AG7" s="175"/>
      <c r="AH7" s="176"/>
      <c r="AI7" s="204"/>
      <c r="AJ7" s="209"/>
      <c r="AK7" s="210"/>
      <c r="AL7" s="210"/>
      <c r="AM7" s="210"/>
      <c r="AN7" s="210"/>
      <c r="AO7" s="210"/>
      <c r="AP7" s="152"/>
      <c r="AQ7" s="153"/>
      <c r="AR7" s="210"/>
      <c r="AS7" s="210"/>
      <c r="AT7" s="210"/>
      <c r="AU7" s="210"/>
      <c r="AV7" s="210"/>
      <c r="AW7" s="210"/>
      <c r="AX7" s="210"/>
      <c r="AY7" s="211"/>
    </row>
    <row r="8" spans="1:51" ht="1.5" customHeight="1" thickBot="1" x14ac:dyDescent="0.3">
      <c r="A8" s="159"/>
      <c r="B8" s="175"/>
      <c r="C8" s="175"/>
      <c r="D8" s="175"/>
      <c r="E8" s="175"/>
      <c r="F8" s="175"/>
      <c r="G8" s="175"/>
      <c r="H8" s="184"/>
      <c r="I8" s="185"/>
      <c r="J8" s="175"/>
      <c r="K8" s="175"/>
      <c r="L8" s="175"/>
      <c r="M8" s="175"/>
      <c r="N8" s="175"/>
      <c r="O8" s="175"/>
      <c r="P8" s="175"/>
      <c r="Q8" s="176"/>
      <c r="R8" s="163"/>
      <c r="S8" s="168"/>
      <c r="T8" s="169"/>
      <c r="U8" s="169"/>
      <c r="V8" s="169"/>
      <c r="W8" s="169"/>
      <c r="X8" s="169"/>
      <c r="Y8" s="184"/>
      <c r="Z8" s="185"/>
      <c r="AA8" s="175"/>
      <c r="AB8" s="175"/>
      <c r="AC8" s="175"/>
      <c r="AD8" s="175"/>
      <c r="AE8" s="175"/>
      <c r="AF8" s="175"/>
      <c r="AG8" s="175"/>
      <c r="AH8" s="176"/>
      <c r="AI8" s="204"/>
      <c r="AJ8" s="209"/>
      <c r="AK8" s="210"/>
      <c r="AL8" s="210"/>
      <c r="AM8" s="210"/>
      <c r="AN8" s="210"/>
      <c r="AO8" s="210"/>
      <c r="AP8" s="154"/>
      <c r="AQ8" s="155"/>
      <c r="AR8" s="210"/>
      <c r="AS8" s="210"/>
      <c r="AT8" s="210"/>
      <c r="AU8" s="210"/>
      <c r="AV8" s="210"/>
      <c r="AW8" s="210"/>
      <c r="AX8" s="210"/>
      <c r="AY8" s="211"/>
    </row>
    <row r="9" spans="1:51" ht="15.75" thickBot="1" x14ac:dyDescent="0.3">
      <c r="A9" s="159"/>
      <c r="B9" s="175"/>
      <c r="C9" s="175"/>
      <c r="D9" s="175"/>
      <c r="E9" s="175"/>
      <c r="F9" s="175"/>
      <c r="G9" s="176"/>
      <c r="H9" s="144" t="s">
        <v>29</v>
      </c>
      <c r="I9" s="145"/>
      <c r="J9" s="177"/>
      <c r="K9" s="175"/>
      <c r="L9" s="175"/>
      <c r="M9" s="175"/>
      <c r="N9" s="175"/>
      <c r="O9" s="175"/>
      <c r="P9" s="175"/>
      <c r="Q9" s="176"/>
      <c r="R9" s="163"/>
      <c r="S9" s="168"/>
      <c r="T9" s="169"/>
      <c r="U9" s="169"/>
      <c r="V9" s="169"/>
      <c r="W9" s="169"/>
      <c r="X9" s="170"/>
      <c r="Y9" s="144" t="s">
        <v>29</v>
      </c>
      <c r="Z9" s="145"/>
      <c r="AA9" s="177"/>
      <c r="AB9" s="175"/>
      <c r="AC9" s="175"/>
      <c r="AD9" s="175"/>
      <c r="AE9" s="175"/>
      <c r="AF9" s="175"/>
      <c r="AG9" s="175"/>
      <c r="AH9" s="176"/>
      <c r="AI9" s="204"/>
      <c r="AJ9" s="209"/>
      <c r="AK9" s="210"/>
      <c r="AL9" s="210"/>
      <c r="AM9" s="210"/>
      <c r="AN9" s="210"/>
      <c r="AO9" s="211"/>
      <c r="AP9" s="144" t="s">
        <v>29</v>
      </c>
      <c r="AQ9" s="145"/>
      <c r="AR9" s="209"/>
      <c r="AS9" s="210"/>
      <c r="AT9" s="210"/>
      <c r="AU9" s="210"/>
      <c r="AV9" s="210"/>
      <c r="AW9" s="210"/>
      <c r="AX9" s="210"/>
      <c r="AY9" s="211"/>
    </row>
    <row r="10" spans="1:51" ht="15" customHeight="1" x14ac:dyDescent="0.25">
      <c r="A10" s="159"/>
      <c r="B10" s="175"/>
      <c r="C10" s="175"/>
      <c r="D10" s="175"/>
      <c r="E10" s="175"/>
      <c r="F10" s="175"/>
      <c r="G10" s="176"/>
      <c r="H10" s="180">
        <f>GETPIVOTDATA("Pontuação matemática",Médias!$B$8)</f>
        <v>67.81</v>
      </c>
      <c r="I10" s="181"/>
      <c r="J10" s="177"/>
      <c r="K10" s="175"/>
      <c r="L10" s="175"/>
      <c r="M10" s="175"/>
      <c r="N10" s="175"/>
      <c r="O10" s="175"/>
      <c r="P10" s="175"/>
      <c r="Q10" s="176"/>
      <c r="R10" s="163"/>
      <c r="S10" s="168"/>
      <c r="T10" s="169"/>
      <c r="U10" s="169"/>
      <c r="V10" s="169"/>
      <c r="W10" s="169"/>
      <c r="X10" s="170"/>
      <c r="Y10" s="180">
        <f>GETPIVOTDATA("Pontuação de leitura",Médias!$B$13)</f>
        <v>70.382000000000005</v>
      </c>
      <c r="Z10" s="181"/>
      <c r="AA10" s="177"/>
      <c r="AB10" s="175"/>
      <c r="AC10" s="175"/>
      <c r="AD10" s="175"/>
      <c r="AE10" s="175"/>
      <c r="AF10" s="175"/>
      <c r="AG10" s="175"/>
      <c r="AH10" s="176"/>
      <c r="AI10" s="204"/>
      <c r="AJ10" s="209"/>
      <c r="AK10" s="210"/>
      <c r="AL10" s="210"/>
      <c r="AM10" s="210"/>
      <c r="AN10" s="210"/>
      <c r="AO10" s="211"/>
      <c r="AP10" s="150">
        <f>GETPIVOTDATA("Pontuação de escrita",Médias!$B$18)</f>
        <v>69.14</v>
      </c>
      <c r="AQ10" s="151"/>
      <c r="AR10" s="209"/>
      <c r="AS10" s="210"/>
      <c r="AT10" s="210"/>
      <c r="AU10" s="210"/>
      <c r="AV10" s="210"/>
      <c r="AW10" s="210"/>
      <c r="AX10" s="210"/>
      <c r="AY10" s="211"/>
    </row>
    <row r="11" spans="1:51" ht="15" customHeight="1" x14ac:dyDescent="0.25">
      <c r="A11" s="159"/>
      <c r="B11" s="175"/>
      <c r="C11" s="175"/>
      <c r="D11" s="175"/>
      <c r="E11" s="175"/>
      <c r="F11" s="175"/>
      <c r="G11" s="176"/>
      <c r="H11" s="182"/>
      <c r="I11" s="183"/>
      <c r="J11" s="177"/>
      <c r="K11" s="175"/>
      <c r="L11" s="175"/>
      <c r="M11" s="175"/>
      <c r="N11" s="175"/>
      <c r="O11" s="175"/>
      <c r="P11" s="175"/>
      <c r="Q11" s="176"/>
      <c r="R11" s="163"/>
      <c r="S11" s="168"/>
      <c r="T11" s="169"/>
      <c r="U11" s="169"/>
      <c r="V11" s="169"/>
      <c r="W11" s="169"/>
      <c r="X11" s="170"/>
      <c r="Y11" s="182"/>
      <c r="Z11" s="183"/>
      <c r="AA11" s="177"/>
      <c r="AB11" s="175"/>
      <c r="AC11" s="175"/>
      <c r="AD11" s="175"/>
      <c r="AE11" s="175"/>
      <c r="AF11" s="175"/>
      <c r="AG11" s="175"/>
      <c r="AH11" s="176"/>
      <c r="AI11" s="204"/>
      <c r="AJ11" s="209"/>
      <c r="AK11" s="210"/>
      <c r="AL11" s="210"/>
      <c r="AM11" s="210"/>
      <c r="AN11" s="210"/>
      <c r="AO11" s="211"/>
      <c r="AP11" s="152"/>
      <c r="AQ11" s="153"/>
      <c r="AR11" s="209"/>
      <c r="AS11" s="210"/>
      <c r="AT11" s="210"/>
      <c r="AU11" s="210"/>
      <c r="AV11" s="210"/>
      <c r="AW11" s="210"/>
      <c r="AX11" s="210"/>
      <c r="AY11" s="211"/>
    </row>
    <row r="12" spans="1:51" ht="15" customHeight="1" x14ac:dyDescent="0.25">
      <c r="A12" s="159"/>
      <c r="B12" s="175"/>
      <c r="C12" s="175"/>
      <c r="D12" s="175"/>
      <c r="E12" s="175"/>
      <c r="F12" s="175"/>
      <c r="G12" s="176"/>
      <c r="H12" s="182"/>
      <c r="I12" s="183"/>
      <c r="J12" s="177"/>
      <c r="K12" s="175"/>
      <c r="L12" s="175"/>
      <c r="M12" s="175"/>
      <c r="N12" s="175"/>
      <c r="O12" s="175"/>
      <c r="P12" s="175"/>
      <c r="Q12" s="176"/>
      <c r="R12" s="163"/>
      <c r="S12" s="168"/>
      <c r="T12" s="169"/>
      <c r="U12" s="169"/>
      <c r="V12" s="169"/>
      <c r="W12" s="169"/>
      <c r="X12" s="170"/>
      <c r="Y12" s="182"/>
      <c r="Z12" s="183"/>
      <c r="AA12" s="177"/>
      <c r="AB12" s="175"/>
      <c r="AC12" s="175"/>
      <c r="AD12" s="175"/>
      <c r="AE12" s="175"/>
      <c r="AF12" s="175"/>
      <c r="AG12" s="175"/>
      <c r="AH12" s="176"/>
      <c r="AI12" s="204"/>
      <c r="AJ12" s="209"/>
      <c r="AK12" s="210"/>
      <c r="AL12" s="210"/>
      <c r="AM12" s="210"/>
      <c r="AN12" s="210"/>
      <c r="AO12" s="211"/>
      <c r="AP12" s="152"/>
      <c r="AQ12" s="153"/>
      <c r="AR12" s="209"/>
      <c r="AS12" s="210"/>
      <c r="AT12" s="210"/>
      <c r="AU12" s="210"/>
      <c r="AV12" s="210"/>
      <c r="AW12" s="210"/>
      <c r="AX12" s="210"/>
      <c r="AY12" s="211"/>
    </row>
    <row r="13" spans="1:51" ht="8.25" customHeight="1" thickBot="1" x14ac:dyDescent="0.3">
      <c r="A13" s="159"/>
      <c r="B13" s="175"/>
      <c r="C13" s="175"/>
      <c r="D13" s="175"/>
      <c r="E13" s="175"/>
      <c r="F13" s="175"/>
      <c r="G13" s="176"/>
      <c r="H13" s="182"/>
      <c r="I13" s="183"/>
      <c r="J13" s="177"/>
      <c r="K13" s="175"/>
      <c r="L13" s="175"/>
      <c r="M13" s="175"/>
      <c r="N13" s="175"/>
      <c r="O13" s="175"/>
      <c r="P13" s="175"/>
      <c r="Q13" s="176"/>
      <c r="R13" s="163"/>
      <c r="S13" s="168"/>
      <c r="T13" s="169"/>
      <c r="U13" s="169"/>
      <c r="V13" s="169"/>
      <c r="W13" s="169"/>
      <c r="X13" s="170"/>
      <c r="Y13" s="182"/>
      <c r="Z13" s="183"/>
      <c r="AA13" s="177"/>
      <c r="AB13" s="175"/>
      <c r="AC13" s="175"/>
      <c r="AD13" s="175"/>
      <c r="AE13" s="175"/>
      <c r="AF13" s="175"/>
      <c r="AG13" s="175"/>
      <c r="AH13" s="176"/>
      <c r="AI13" s="204"/>
      <c r="AJ13" s="209"/>
      <c r="AK13" s="210"/>
      <c r="AL13" s="210"/>
      <c r="AM13" s="210"/>
      <c r="AN13" s="210"/>
      <c r="AO13" s="211"/>
      <c r="AP13" s="152"/>
      <c r="AQ13" s="153"/>
      <c r="AR13" s="209"/>
      <c r="AS13" s="210"/>
      <c r="AT13" s="210"/>
      <c r="AU13" s="210"/>
      <c r="AV13" s="210"/>
      <c r="AW13" s="210"/>
      <c r="AX13" s="210"/>
      <c r="AY13" s="211"/>
    </row>
    <row r="14" spans="1:51" ht="15.75" hidden="1" customHeight="1" thickBot="1" x14ac:dyDescent="0.3">
      <c r="A14" s="159"/>
      <c r="B14" s="175"/>
      <c r="C14" s="175"/>
      <c r="D14" s="175"/>
      <c r="E14" s="175"/>
      <c r="F14" s="175"/>
      <c r="G14" s="176"/>
      <c r="H14" s="184"/>
      <c r="I14" s="185"/>
      <c r="J14" s="177"/>
      <c r="K14" s="175"/>
      <c r="L14" s="175"/>
      <c r="M14" s="175"/>
      <c r="N14" s="175"/>
      <c r="O14" s="175"/>
      <c r="P14" s="175"/>
      <c r="Q14" s="176"/>
      <c r="R14" s="163"/>
      <c r="S14" s="168"/>
      <c r="T14" s="169"/>
      <c r="U14" s="169"/>
      <c r="V14" s="169"/>
      <c r="W14" s="169"/>
      <c r="X14" s="170"/>
      <c r="Y14" s="184"/>
      <c r="Z14" s="185"/>
      <c r="AA14" s="177"/>
      <c r="AB14" s="175"/>
      <c r="AC14" s="175"/>
      <c r="AD14" s="175"/>
      <c r="AE14" s="175"/>
      <c r="AF14" s="175"/>
      <c r="AG14" s="175"/>
      <c r="AH14" s="176"/>
      <c r="AI14" s="204"/>
      <c r="AJ14" s="209"/>
      <c r="AK14" s="210"/>
      <c r="AL14" s="210"/>
      <c r="AM14" s="210"/>
      <c r="AN14" s="210"/>
      <c r="AO14" s="211"/>
      <c r="AP14" s="154"/>
      <c r="AQ14" s="155"/>
      <c r="AR14" s="209"/>
      <c r="AS14" s="210"/>
      <c r="AT14" s="210"/>
      <c r="AU14" s="210"/>
      <c r="AV14" s="210"/>
      <c r="AW14" s="210"/>
      <c r="AX14" s="210"/>
      <c r="AY14" s="211"/>
    </row>
    <row r="15" spans="1:51" ht="17.25" customHeight="1" thickBot="1" x14ac:dyDescent="0.3">
      <c r="A15" s="159"/>
      <c r="B15" s="175"/>
      <c r="C15" s="175"/>
      <c r="D15" s="175"/>
      <c r="E15" s="175"/>
      <c r="F15" s="175"/>
      <c r="G15" s="175"/>
      <c r="H15" s="144" t="s">
        <v>40</v>
      </c>
      <c r="I15" s="145"/>
      <c r="J15" s="175"/>
      <c r="K15" s="175"/>
      <c r="L15" s="175"/>
      <c r="M15" s="175"/>
      <c r="N15" s="175"/>
      <c r="O15" s="175"/>
      <c r="P15" s="175"/>
      <c r="Q15" s="176"/>
      <c r="R15" s="163"/>
      <c r="S15" s="168"/>
      <c r="T15" s="169"/>
      <c r="U15" s="169"/>
      <c r="V15" s="169"/>
      <c r="W15" s="169"/>
      <c r="X15" s="169"/>
      <c r="Y15" s="144" t="s">
        <v>40</v>
      </c>
      <c r="Z15" s="145"/>
      <c r="AA15" s="175"/>
      <c r="AB15" s="175"/>
      <c r="AC15" s="175"/>
      <c r="AD15" s="175"/>
      <c r="AE15" s="175"/>
      <c r="AF15" s="175"/>
      <c r="AG15" s="175"/>
      <c r="AH15" s="176"/>
      <c r="AI15" s="204"/>
      <c r="AJ15" s="209"/>
      <c r="AK15" s="210"/>
      <c r="AL15" s="210"/>
      <c r="AM15" s="210"/>
      <c r="AN15" s="210"/>
      <c r="AO15" s="210"/>
      <c r="AP15" s="144" t="s">
        <v>40</v>
      </c>
      <c r="AQ15" s="145"/>
      <c r="AR15" s="210"/>
      <c r="AS15" s="210"/>
      <c r="AT15" s="210"/>
      <c r="AU15" s="210"/>
      <c r="AV15" s="210"/>
      <c r="AW15" s="210"/>
      <c r="AX15" s="210"/>
      <c r="AY15" s="211"/>
    </row>
    <row r="16" spans="1:51" ht="15" customHeight="1" x14ac:dyDescent="0.25">
      <c r="A16" s="159"/>
      <c r="B16" s="175"/>
      <c r="C16" s="175"/>
      <c r="D16" s="175"/>
      <c r="E16" s="175"/>
      <c r="F16" s="175"/>
      <c r="G16" s="175"/>
      <c r="H16" s="186">
        <f>COUNTIF(PontuaçãoMatemática,"&gt;=70")</f>
        <v>464</v>
      </c>
      <c r="I16" s="187"/>
      <c r="J16" s="175"/>
      <c r="K16" s="175"/>
      <c r="L16" s="175"/>
      <c r="M16" s="175"/>
      <c r="N16" s="175"/>
      <c r="O16" s="175"/>
      <c r="P16" s="175"/>
      <c r="Q16" s="176"/>
      <c r="R16" s="163"/>
      <c r="S16" s="168"/>
      <c r="T16" s="169"/>
      <c r="U16" s="169"/>
      <c r="V16" s="169"/>
      <c r="W16" s="169"/>
      <c r="X16" s="169"/>
      <c r="Y16" s="186">
        <f>COUNTIF(PontuaçãoLeitura,"&gt;=70")</f>
        <v>526</v>
      </c>
      <c r="Z16" s="187"/>
      <c r="AA16" s="175"/>
      <c r="AB16" s="175"/>
      <c r="AC16" s="175"/>
      <c r="AD16" s="175"/>
      <c r="AE16" s="175"/>
      <c r="AF16" s="175"/>
      <c r="AG16" s="175"/>
      <c r="AH16" s="176"/>
      <c r="AI16" s="204"/>
      <c r="AJ16" s="209"/>
      <c r="AK16" s="210"/>
      <c r="AL16" s="210"/>
      <c r="AM16" s="210"/>
      <c r="AN16" s="210"/>
      <c r="AO16" s="210"/>
      <c r="AP16" s="146">
        <f>COUNTIF(PontuaçãoEscrita,"&gt;=70")</f>
        <v>513</v>
      </c>
      <c r="AQ16" s="147"/>
      <c r="AR16" s="210"/>
      <c r="AS16" s="210"/>
      <c r="AT16" s="210"/>
      <c r="AU16" s="210"/>
      <c r="AV16" s="210"/>
      <c r="AW16" s="210"/>
      <c r="AX16" s="210"/>
      <c r="AY16" s="211"/>
    </row>
    <row r="17" spans="1:51" ht="15" customHeight="1" x14ac:dyDescent="0.25">
      <c r="A17" s="159"/>
      <c r="B17" s="175"/>
      <c r="C17" s="175"/>
      <c r="D17" s="175"/>
      <c r="E17" s="175"/>
      <c r="F17" s="175"/>
      <c r="G17" s="175"/>
      <c r="H17" s="188"/>
      <c r="I17" s="189"/>
      <c r="J17" s="175"/>
      <c r="K17" s="175"/>
      <c r="L17" s="175"/>
      <c r="M17" s="175"/>
      <c r="N17" s="175"/>
      <c r="O17" s="175"/>
      <c r="P17" s="175"/>
      <c r="Q17" s="176"/>
      <c r="R17" s="163"/>
      <c r="S17" s="168"/>
      <c r="T17" s="169"/>
      <c r="U17" s="169"/>
      <c r="V17" s="169"/>
      <c r="W17" s="169"/>
      <c r="X17" s="169"/>
      <c r="Y17" s="188"/>
      <c r="Z17" s="189"/>
      <c r="AA17" s="175"/>
      <c r="AB17" s="175"/>
      <c r="AC17" s="175"/>
      <c r="AD17" s="175"/>
      <c r="AE17" s="175"/>
      <c r="AF17" s="175"/>
      <c r="AG17" s="175"/>
      <c r="AH17" s="176"/>
      <c r="AI17" s="204"/>
      <c r="AJ17" s="209"/>
      <c r="AK17" s="210"/>
      <c r="AL17" s="210"/>
      <c r="AM17" s="210"/>
      <c r="AN17" s="210"/>
      <c r="AO17" s="210"/>
      <c r="AP17" s="148"/>
      <c r="AQ17" s="149"/>
      <c r="AR17" s="210"/>
      <c r="AS17" s="210"/>
      <c r="AT17" s="210"/>
      <c r="AU17" s="210"/>
      <c r="AV17" s="210"/>
      <c r="AW17" s="210"/>
      <c r="AX17" s="210"/>
      <c r="AY17" s="211"/>
    </row>
    <row r="18" spans="1:51" ht="15" customHeight="1" x14ac:dyDescent="0.25">
      <c r="A18" s="159"/>
      <c r="B18" s="175"/>
      <c r="C18" s="175"/>
      <c r="D18" s="175"/>
      <c r="E18" s="175"/>
      <c r="F18" s="175"/>
      <c r="G18" s="175"/>
      <c r="H18" s="188"/>
      <c r="I18" s="189"/>
      <c r="J18" s="175"/>
      <c r="K18" s="175"/>
      <c r="L18" s="175"/>
      <c r="M18" s="175"/>
      <c r="N18" s="175"/>
      <c r="O18" s="175"/>
      <c r="P18" s="175"/>
      <c r="Q18" s="176"/>
      <c r="R18" s="163"/>
      <c r="S18" s="168"/>
      <c r="T18" s="169"/>
      <c r="U18" s="169"/>
      <c r="V18" s="169"/>
      <c r="W18" s="169"/>
      <c r="X18" s="169"/>
      <c r="Y18" s="188"/>
      <c r="Z18" s="189"/>
      <c r="AA18" s="175"/>
      <c r="AB18" s="175"/>
      <c r="AC18" s="175"/>
      <c r="AD18" s="175"/>
      <c r="AE18" s="175"/>
      <c r="AF18" s="175"/>
      <c r="AG18" s="175"/>
      <c r="AH18" s="176"/>
      <c r="AI18" s="204"/>
      <c r="AJ18" s="209"/>
      <c r="AK18" s="210"/>
      <c r="AL18" s="210"/>
      <c r="AM18" s="210"/>
      <c r="AN18" s="210"/>
      <c r="AO18" s="210"/>
      <c r="AP18" s="148"/>
      <c r="AQ18" s="149"/>
      <c r="AR18" s="210"/>
      <c r="AS18" s="210"/>
      <c r="AT18" s="210"/>
      <c r="AU18" s="210"/>
      <c r="AV18" s="210"/>
      <c r="AW18" s="210"/>
      <c r="AX18" s="210"/>
      <c r="AY18" s="211"/>
    </row>
    <row r="19" spans="1:51" ht="12.75" customHeight="1" thickBot="1" x14ac:dyDescent="0.3">
      <c r="A19" s="159"/>
      <c r="B19" s="175"/>
      <c r="C19" s="175"/>
      <c r="D19" s="175"/>
      <c r="E19" s="175"/>
      <c r="F19" s="175"/>
      <c r="G19" s="175"/>
      <c r="H19" s="188"/>
      <c r="I19" s="189"/>
      <c r="J19" s="175"/>
      <c r="K19" s="175"/>
      <c r="L19" s="175"/>
      <c r="M19" s="175"/>
      <c r="N19" s="175"/>
      <c r="O19" s="175"/>
      <c r="P19" s="175"/>
      <c r="Q19" s="176"/>
      <c r="R19" s="163"/>
      <c r="S19" s="168"/>
      <c r="T19" s="169"/>
      <c r="U19" s="169"/>
      <c r="V19" s="169"/>
      <c r="W19" s="169"/>
      <c r="X19" s="169"/>
      <c r="Y19" s="188"/>
      <c r="Z19" s="189"/>
      <c r="AA19" s="175"/>
      <c r="AB19" s="175"/>
      <c r="AC19" s="175"/>
      <c r="AD19" s="175"/>
      <c r="AE19" s="175"/>
      <c r="AF19" s="175"/>
      <c r="AG19" s="175"/>
      <c r="AH19" s="176"/>
      <c r="AI19" s="204"/>
      <c r="AJ19" s="209"/>
      <c r="AK19" s="210"/>
      <c r="AL19" s="210"/>
      <c r="AM19" s="210"/>
      <c r="AN19" s="210"/>
      <c r="AO19" s="210"/>
      <c r="AP19" s="148"/>
      <c r="AQ19" s="149"/>
      <c r="AR19" s="210"/>
      <c r="AS19" s="210"/>
      <c r="AT19" s="210"/>
      <c r="AU19" s="210"/>
      <c r="AV19" s="210"/>
      <c r="AW19" s="210"/>
      <c r="AX19" s="210"/>
      <c r="AY19" s="211"/>
    </row>
    <row r="20" spans="1:51" ht="15.75" hidden="1" customHeight="1" thickBot="1" x14ac:dyDescent="0.3">
      <c r="A20" s="159"/>
      <c r="B20" s="175"/>
      <c r="C20" s="175"/>
      <c r="D20" s="175"/>
      <c r="E20" s="175"/>
      <c r="F20" s="175"/>
      <c r="G20" s="175"/>
      <c r="H20" s="190"/>
      <c r="I20" s="191"/>
      <c r="J20" s="175"/>
      <c r="K20" s="175"/>
      <c r="L20" s="175"/>
      <c r="M20" s="175"/>
      <c r="N20" s="175"/>
      <c r="O20" s="175"/>
      <c r="P20" s="175"/>
      <c r="Q20" s="176"/>
      <c r="R20" s="163"/>
      <c r="S20" s="168"/>
      <c r="T20" s="169"/>
      <c r="U20" s="169"/>
      <c r="V20" s="169"/>
      <c r="W20" s="169"/>
      <c r="X20" s="169"/>
      <c r="Y20" s="190"/>
      <c r="Z20" s="191"/>
      <c r="AA20" s="175"/>
      <c r="AB20" s="175"/>
      <c r="AC20" s="175"/>
      <c r="AD20" s="175"/>
      <c r="AE20" s="175"/>
      <c r="AF20" s="175"/>
      <c r="AG20" s="175"/>
      <c r="AH20" s="176"/>
      <c r="AI20" s="204"/>
      <c r="AJ20" s="209"/>
      <c r="AK20" s="210"/>
      <c r="AL20" s="210"/>
      <c r="AM20" s="210"/>
      <c r="AN20" s="210"/>
      <c r="AO20" s="210"/>
      <c r="AP20" s="156"/>
      <c r="AQ20" s="157"/>
      <c r="AR20" s="210"/>
      <c r="AS20" s="210"/>
      <c r="AT20" s="210"/>
      <c r="AU20" s="210"/>
      <c r="AV20" s="210"/>
      <c r="AW20" s="210"/>
      <c r="AX20" s="210"/>
      <c r="AY20" s="211"/>
    </row>
    <row r="21" spans="1:51" ht="15.75" thickBot="1" x14ac:dyDescent="0.3">
      <c r="A21" s="159"/>
      <c r="B21" s="175"/>
      <c r="C21" s="175"/>
      <c r="D21" s="175"/>
      <c r="E21" s="175"/>
      <c r="F21" s="175"/>
      <c r="G21" s="175"/>
      <c r="H21" s="144" t="s">
        <v>41</v>
      </c>
      <c r="I21" s="145"/>
      <c r="J21" s="175"/>
      <c r="K21" s="175"/>
      <c r="L21" s="175"/>
      <c r="M21" s="175"/>
      <c r="N21" s="175"/>
      <c r="O21" s="175"/>
      <c r="P21" s="175"/>
      <c r="Q21" s="176"/>
      <c r="R21" s="163"/>
      <c r="S21" s="168"/>
      <c r="T21" s="169"/>
      <c r="U21" s="169"/>
      <c r="V21" s="169"/>
      <c r="W21" s="169"/>
      <c r="X21" s="169"/>
      <c r="Y21" s="144" t="s">
        <v>41</v>
      </c>
      <c r="Z21" s="145"/>
      <c r="AA21" s="175"/>
      <c r="AB21" s="175"/>
      <c r="AC21" s="175"/>
      <c r="AD21" s="175"/>
      <c r="AE21" s="175"/>
      <c r="AF21" s="175"/>
      <c r="AG21" s="175"/>
      <c r="AH21" s="176"/>
      <c r="AI21" s="204"/>
      <c r="AJ21" s="209"/>
      <c r="AK21" s="210"/>
      <c r="AL21" s="210"/>
      <c r="AM21" s="210"/>
      <c r="AN21" s="210"/>
      <c r="AO21" s="210"/>
      <c r="AP21" s="144" t="s">
        <v>41</v>
      </c>
      <c r="AQ21" s="145"/>
      <c r="AR21" s="210"/>
      <c r="AS21" s="210"/>
      <c r="AT21" s="210"/>
      <c r="AU21" s="210"/>
      <c r="AV21" s="210"/>
      <c r="AW21" s="210"/>
      <c r="AX21" s="210"/>
      <c r="AY21" s="211"/>
    </row>
    <row r="22" spans="1:51" ht="15" customHeight="1" x14ac:dyDescent="0.25">
      <c r="A22" s="159"/>
      <c r="B22" s="175"/>
      <c r="C22" s="175"/>
      <c r="D22" s="175"/>
      <c r="E22" s="175"/>
      <c r="F22" s="175"/>
      <c r="G22" s="175"/>
      <c r="H22" s="186">
        <f>COUNTIF(PontuaçãoMatemática,"&lt;70")</f>
        <v>536</v>
      </c>
      <c r="I22" s="187"/>
      <c r="J22" s="175"/>
      <c r="K22" s="175"/>
      <c r="L22" s="175"/>
      <c r="M22" s="175"/>
      <c r="N22" s="175"/>
      <c r="O22" s="175"/>
      <c r="P22" s="175"/>
      <c r="Q22" s="176"/>
      <c r="R22" s="163"/>
      <c r="S22" s="168"/>
      <c r="T22" s="169"/>
      <c r="U22" s="169"/>
      <c r="V22" s="169"/>
      <c r="W22" s="169"/>
      <c r="X22" s="169"/>
      <c r="Y22" s="186">
        <f>COUNTIF(PontuaçãoLeitura,"&lt;70")</f>
        <v>474</v>
      </c>
      <c r="Z22" s="187"/>
      <c r="AA22" s="175"/>
      <c r="AB22" s="175"/>
      <c r="AC22" s="175"/>
      <c r="AD22" s="175"/>
      <c r="AE22" s="175"/>
      <c r="AF22" s="175"/>
      <c r="AG22" s="175"/>
      <c r="AH22" s="176"/>
      <c r="AI22" s="204"/>
      <c r="AJ22" s="209"/>
      <c r="AK22" s="210"/>
      <c r="AL22" s="210"/>
      <c r="AM22" s="210"/>
      <c r="AN22" s="210"/>
      <c r="AO22" s="210"/>
      <c r="AP22" s="146">
        <f>COUNTIF(PontuaçãoEscrita,"&lt;70")</f>
        <v>487</v>
      </c>
      <c r="AQ22" s="147"/>
      <c r="AR22" s="210"/>
      <c r="AS22" s="210"/>
      <c r="AT22" s="210"/>
      <c r="AU22" s="210"/>
      <c r="AV22" s="210"/>
      <c r="AW22" s="210"/>
      <c r="AX22" s="210"/>
      <c r="AY22" s="211"/>
    </row>
    <row r="23" spans="1:51" ht="15.75" customHeight="1" x14ac:dyDescent="0.25">
      <c r="A23" s="159"/>
      <c r="B23" s="175"/>
      <c r="C23" s="175"/>
      <c r="D23" s="175"/>
      <c r="E23" s="175"/>
      <c r="F23" s="175"/>
      <c r="G23" s="175"/>
      <c r="H23" s="188"/>
      <c r="I23" s="189"/>
      <c r="J23" s="175"/>
      <c r="K23" s="175"/>
      <c r="L23" s="175"/>
      <c r="M23" s="175"/>
      <c r="N23" s="175"/>
      <c r="O23" s="175"/>
      <c r="P23" s="175"/>
      <c r="Q23" s="176"/>
      <c r="R23" s="163"/>
      <c r="S23" s="168"/>
      <c r="T23" s="169"/>
      <c r="U23" s="169"/>
      <c r="V23" s="169"/>
      <c r="W23" s="169"/>
      <c r="X23" s="169"/>
      <c r="Y23" s="188"/>
      <c r="Z23" s="189"/>
      <c r="AA23" s="175"/>
      <c r="AB23" s="175"/>
      <c r="AC23" s="175"/>
      <c r="AD23" s="175"/>
      <c r="AE23" s="175"/>
      <c r="AF23" s="175"/>
      <c r="AG23" s="175"/>
      <c r="AH23" s="176"/>
      <c r="AI23" s="204"/>
      <c r="AJ23" s="209"/>
      <c r="AK23" s="210"/>
      <c r="AL23" s="210"/>
      <c r="AM23" s="210"/>
      <c r="AN23" s="210"/>
      <c r="AO23" s="210"/>
      <c r="AP23" s="148"/>
      <c r="AQ23" s="149"/>
      <c r="AR23" s="210"/>
      <c r="AS23" s="210"/>
      <c r="AT23" s="210"/>
      <c r="AU23" s="210"/>
      <c r="AV23" s="210"/>
      <c r="AW23" s="210"/>
      <c r="AX23" s="210"/>
      <c r="AY23" s="211"/>
    </row>
    <row r="24" spans="1:51" ht="24.75" customHeight="1" x14ac:dyDescent="0.25">
      <c r="A24" s="159"/>
      <c r="B24" s="175"/>
      <c r="C24" s="175"/>
      <c r="D24" s="175"/>
      <c r="E24" s="175"/>
      <c r="F24" s="175"/>
      <c r="G24" s="175"/>
      <c r="H24" s="188"/>
      <c r="I24" s="189"/>
      <c r="J24" s="175"/>
      <c r="K24" s="175"/>
      <c r="L24" s="175"/>
      <c r="M24" s="175"/>
      <c r="N24" s="175"/>
      <c r="O24" s="175"/>
      <c r="P24" s="175"/>
      <c r="Q24" s="176"/>
      <c r="R24" s="163"/>
      <c r="S24" s="168"/>
      <c r="T24" s="169"/>
      <c r="U24" s="169"/>
      <c r="V24" s="169"/>
      <c r="W24" s="169"/>
      <c r="X24" s="169"/>
      <c r="Y24" s="188"/>
      <c r="Z24" s="189"/>
      <c r="AA24" s="175"/>
      <c r="AB24" s="175"/>
      <c r="AC24" s="175"/>
      <c r="AD24" s="175"/>
      <c r="AE24" s="175"/>
      <c r="AF24" s="175"/>
      <c r="AG24" s="175"/>
      <c r="AH24" s="176"/>
      <c r="AI24" s="204"/>
      <c r="AJ24" s="209"/>
      <c r="AK24" s="210"/>
      <c r="AL24" s="210"/>
      <c r="AM24" s="210"/>
      <c r="AN24" s="210"/>
      <c r="AO24" s="210"/>
      <c r="AP24" s="148"/>
      <c r="AQ24" s="149"/>
      <c r="AR24" s="210"/>
      <c r="AS24" s="210"/>
      <c r="AT24" s="210"/>
      <c r="AU24" s="210"/>
      <c r="AV24" s="210"/>
      <c r="AW24" s="210"/>
      <c r="AX24" s="210"/>
      <c r="AY24" s="211"/>
    </row>
    <row r="25" spans="1:51" ht="9" hidden="1" customHeight="1" thickBot="1" x14ac:dyDescent="0.3">
      <c r="A25" s="160"/>
      <c r="B25" s="178"/>
      <c r="C25" s="178"/>
      <c r="D25" s="178"/>
      <c r="E25" s="178"/>
      <c r="F25" s="178"/>
      <c r="G25" s="178"/>
      <c r="H25" s="188"/>
      <c r="I25" s="189"/>
      <c r="J25" s="178"/>
      <c r="K25" s="178"/>
      <c r="L25" s="178"/>
      <c r="M25" s="178"/>
      <c r="N25" s="178"/>
      <c r="O25" s="178"/>
      <c r="P25" s="178"/>
      <c r="Q25" s="179"/>
      <c r="R25" s="164"/>
      <c r="S25" s="171"/>
      <c r="T25" s="172"/>
      <c r="U25" s="172"/>
      <c r="V25" s="172"/>
      <c r="W25" s="172"/>
      <c r="X25" s="172"/>
      <c r="Y25" s="188"/>
      <c r="Z25" s="189"/>
      <c r="AA25" s="178"/>
      <c r="AB25" s="178"/>
      <c r="AC25" s="178"/>
      <c r="AD25" s="178"/>
      <c r="AE25" s="178"/>
      <c r="AF25" s="178"/>
      <c r="AG25" s="178"/>
      <c r="AH25" s="179"/>
      <c r="AI25" s="205"/>
      <c r="AJ25" s="212"/>
      <c r="AK25" s="213"/>
      <c r="AL25" s="213"/>
      <c r="AM25" s="213"/>
      <c r="AN25" s="213"/>
      <c r="AO25" s="213"/>
      <c r="AP25" s="148"/>
      <c r="AQ25" s="149"/>
      <c r="AR25" s="213"/>
      <c r="AS25" s="213"/>
      <c r="AT25" s="213"/>
      <c r="AU25" s="213"/>
      <c r="AV25" s="213"/>
      <c r="AW25" s="213"/>
      <c r="AX25" s="213"/>
      <c r="AY25" s="214"/>
    </row>
  </sheetData>
  <sheetProtection sheet="1"/>
  <mergeCells count="39">
    <mergeCell ref="S2:AH2"/>
    <mergeCell ref="AJ2:AY2"/>
    <mergeCell ref="H16:I20"/>
    <mergeCell ref="H21:I21"/>
    <mergeCell ref="H22:I25"/>
    <mergeCell ref="B2:Q2"/>
    <mergeCell ref="H3:I3"/>
    <mergeCell ref="H9:I9"/>
    <mergeCell ref="H10:I14"/>
    <mergeCell ref="H4:I8"/>
    <mergeCell ref="H15:I15"/>
    <mergeCell ref="AI1:AI25"/>
    <mergeCell ref="AJ1:AY1"/>
    <mergeCell ref="AJ3:AO25"/>
    <mergeCell ref="AP3:AQ3"/>
    <mergeCell ref="AR3:AY25"/>
    <mergeCell ref="A1:A25"/>
    <mergeCell ref="R1:R25"/>
    <mergeCell ref="S1:AH1"/>
    <mergeCell ref="S3:X25"/>
    <mergeCell ref="Y3:Z3"/>
    <mergeCell ref="AA3:AH25"/>
    <mergeCell ref="Y4:Z8"/>
    <mergeCell ref="Y9:Z9"/>
    <mergeCell ref="Y10:Z14"/>
    <mergeCell ref="Y15:Z15"/>
    <mergeCell ref="Y16:Z20"/>
    <mergeCell ref="Y21:Z21"/>
    <mergeCell ref="Y22:Z25"/>
    <mergeCell ref="B1:Q1"/>
    <mergeCell ref="B3:G25"/>
    <mergeCell ref="J3:Q25"/>
    <mergeCell ref="AP21:AQ21"/>
    <mergeCell ref="AP22:AQ25"/>
    <mergeCell ref="AP4:AQ8"/>
    <mergeCell ref="AP9:AQ9"/>
    <mergeCell ref="AP10:AQ14"/>
    <mergeCell ref="AP15:AQ15"/>
    <mergeCell ref="AP16:AQ20"/>
  </mergeCells>
  <conditionalFormatting sqref="H10:I14">
    <cfRule type="expression" dxfId="264" priority="3">
      <formula>$H$10&lt;69</formula>
    </cfRule>
  </conditionalFormatting>
  <conditionalFormatting sqref="Y10:Z14">
    <cfRule type="expression" dxfId="263" priority="2">
      <formula>$Y$10&lt;69</formula>
    </cfRule>
  </conditionalFormatting>
  <conditionalFormatting sqref="AP10:AQ14">
    <cfRule type="expression" dxfId="262" priority="1">
      <formula>$AP$10&lt;70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ignoredErrors>
    <ignoredError sqref="Y4 Y10 Y16 Y22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VoltarMédias">
                <anchor moveWithCells="1" sizeWithCells="1">
                  <from>
                    <xdr:col>0</xdr:col>
                    <xdr:colOff>47625</xdr:colOff>
                    <xdr:row>0</xdr:row>
                    <xdr:rowOff>19050</xdr:rowOff>
                  </from>
                  <to>
                    <xdr:col>0</xdr:col>
                    <xdr:colOff>561975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0AEC3-5F30-4DBD-A819-B5AEBD876F22}">
  <sheetPr codeName="Planilha1"/>
  <dimension ref="B1:O21"/>
  <sheetViews>
    <sheetView showGridLines="0" zoomScaleNormal="100" workbookViewId="0">
      <selection activeCell="K24" sqref="K24"/>
    </sheetView>
  </sheetViews>
  <sheetFormatPr defaultRowHeight="15" x14ac:dyDescent="0.25"/>
  <cols>
    <col min="2" max="2" width="12.7109375" bestFit="1" customWidth="1"/>
    <col min="3" max="4" width="11.5703125" bestFit="1" customWidth="1"/>
    <col min="5" max="5" width="10" bestFit="1" customWidth="1"/>
    <col min="7" max="7" width="28.28515625" bestFit="1" customWidth="1"/>
    <col min="8" max="8" width="11.5703125" bestFit="1" customWidth="1"/>
    <col min="9" max="9" width="9.7109375" bestFit="1" customWidth="1"/>
    <col min="10" max="10" width="7.5703125" bestFit="1" customWidth="1"/>
    <col min="11" max="11" width="7.7109375" bestFit="1" customWidth="1"/>
    <col min="12" max="12" width="7.42578125" bestFit="1" customWidth="1"/>
    <col min="13" max="13" width="10" bestFit="1" customWidth="1"/>
    <col min="14" max="14" width="6.7109375" customWidth="1"/>
    <col min="15" max="15" width="24.7109375" customWidth="1"/>
    <col min="16" max="38" width="29.7109375" bestFit="1" customWidth="1"/>
  </cols>
  <sheetData>
    <row r="1" spans="2:15" ht="23.25" customHeight="1" thickBot="1" x14ac:dyDescent="0.3">
      <c r="O1" s="98" t="s">
        <v>70</v>
      </c>
    </row>
    <row r="2" spans="2:15" ht="15.75" thickBot="1" x14ac:dyDescent="0.3"/>
    <row r="3" spans="2:15" ht="18.75" thickBot="1" x14ac:dyDescent="0.3">
      <c r="B3" s="67" t="s">
        <v>0</v>
      </c>
      <c r="C3" s="26" t="s">
        <v>38</v>
      </c>
      <c r="G3" s="35" t="s">
        <v>39</v>
      </c>
      <c r="H3" s="32" t="s">
        <v>3</v>
      </c>
      <c r="I3" s="33"/>
      <c r="J3" s="33"/>
      <c r="K3" s="33"/>
      <c r="L3" s="33"/>
      <c r="M3" s="34"/>
      <c r="N3" s="5"/>
      <c r="O3" s="54" t="s">
        <v>58</v>
      </c>
    </row>
    <row r="4" spans="2:15" ht="15.75" thickBot="1" x14ac:dyDescent="0.3">
      <c r="B4" s="24" t="s">
        <v>1</v>
      </c>
      <c r="C4" s="121">
        <v>492</v>
      </c>
      <c r="G4" s="28" t="s">
        <v>43</v>
      </c>
      <c r="H4" s="34" t="s">
        <v>9</v>
      </c>
      <c r="I4" s="34" t="s">
        <v>10</v>
      </c>
      <c r="J4" s="34" t="s">
        <v>11</v>
      </c>
      <c r="K4" s="34" t="s">
        <v>12</v>
      </c>
      <c r="L4" s="34" t="s">
        <v>19</v>
      </c>
      <c r="M4" s="49" t="s">
        <v>8</v>
      </c>
      <c r="N4" s="3"/>
      <c r="O4" s="215"/>
    </row>
    <row r="5" spans="2:15" ht="15.75" thickBot="1" x14ac:dyDescent="0.3">
      <c r="B5" s="25" t="s">
        <v>2</v>
      </c>
      <c r="C5" s="122">
        <v>508</v>
      </c>
      <c r="G5" s="37" t="s">
        <v>54</v>
      </c>
      <c r="H5" s="137">
        <v>21</v>
      </c>
      <c r="I5" s="137">
        <v>41</v>
      </c>
      <c r="J5" s="137">
        <v>59</v>
      </c>
      <c r="K5" s="137">
        <v>59</v>
      </c>
      <c r="L5" s="138">
        <v>24</v>
      </c>
      <c r="M5" s="43">
        <v>204</v>
      </c>
      <c r="N5" s="72"/>
      <c r="O5" s="216"/>
    </row>
    <row r="6" spans="2:15" ht="15.75" thickBot="1" x14ac:dyDescent="0.3">
      <c r="G6" s="38" t="s">
        <v>53</v>
      </c>
      <c r="H6" s="127">
        <v>15</v>
      </c>
      <c r="I6" s="127">
        <v>33</v>
      </c>
      <c r="J6" s="127">
        <v>51</v>
      </c>
      <c r="K6" s="127">
        <v>52</v>
      </c>
      <c r="L6" s="128">
        <v>26</v>
      </c>
      <c r="M6" s="44">
        <v>177</v>
      </c>
      <c r="N6" s="72"/>
      <c r="O6" s="217"/>
    </row>
    <row r="7" spans="2:15" ht="15.75" thickBot="1" x14ac:dyDescent="0.3">
      <c r="B7" s="18" t="s">
        <v>39</v>
      </c>
      <c r="C7" s="68" t="s">
        <v>0</v>
      </c>
      <c r="D7" s="30"/>
      <c r="E7" s="31"/>
      <c r="G7" s="40" t="s">
        <v>6</v>
      </c>
      <c r="H7" s="131">
        <v>20</v>
      </c>
      <c r="I7" s="131">
        <v>43</v>
      </c>
      <c r="J7" s="131">
        <v>74</v>
      </c>
      <c r="K7" s="131">
        <v>46</v>
      </c>
      <c r="L7" s="132">
        <v>32</v>
      </c>
      <c r="M7" s="45">
        <v>215</v>
      </c>
      <c r="N7" s="73"/>
      <c r="O7" s="55"/>
    </row>
    <row r="8" spans="2:15" ht="15.75" thickBot="1" x14ac:dyDescent="0.3">
      <c r="B8" s="20" t="s">
        <v>3</v>
      </c>
      <c r="C8" s="17" t="s">
        <v>1</v>
      </c>
      <c r="D8" s="21" t="s">
        <v>2</v>
      </c>
      <c r="E8" s="31" t="s">
        <v>8</v>
      </c>
      <c r="G8" s="39" t="s">
        <v>42</v>
      </c>
      <c r="H8" s="129">
        <v>15</v>
      </c>
      <c r="I8" s="129">
        <v>40</v>
      </c>
      <c r="J8" s="129">
        <v>79</v>
      </c>
      <c r="K8" s="129">
        <v>55</v>
      </c>
      <c r="L8" s="130">
        <v>35</v>
      </c>
      <c r="M8" s="46">
        <v>224</v>
      </c>
      <c r="N8" s="73"/>
      <c r="O8" s="56"/>
    </row>
    <row r="9" spans="2:15" ht="15.75" thickBot="1" x14ac:dyDescent="0.3">
      <c r="B9" s="19" t="s">
        <v>9</v>
      </c>
      <c r="C9" s="17">
        <v>41</v>
      </c>
      <c r="D9" s="21">
        <v>38</v>
      </c>
      <c r="E9" s="125">
        <v>79</v>
      </c>
      <c r="G9" s="41" t="s">
        <v>52</v>
      </c>
      <c r="H9" s="133">
        <v>4</v>
      </c>
      <c r="I9" s="133">
        <v>27</v>
      </c>
      <c r="J9" s="133">
        <v>35</v>
      </c>
      <c r="K9" s="133">
        <v>25</v>
      </c>
      <c r="L9" s="134">
        <v>14</v>
      </c>
      <c r="M9" s="47">
        <v>105</v>
      </c>
      <c r="N9" s="72"/>
      <c r="O9" s="57"/>
    </row>
    <row r="10" spans="2:15" ht="15.75" thickBot="1" x14ac:dyDescent="0.3">
      <c r="B10" s="23" t="s">
        <v>10</v>
      </c>
      <c r="C10" s="124">
        <v>112</v>
      </c>
      <c r="D10" s="123">
        <v>86</v>
      </c>
      <c r="E10" s="126">
        <v>198</v>
      </c>
      <c r="G10" s="42" t="s">
        <v>59</v>
      </c>
      <c r="H10" s="135">
        <v>4</v>
      </c>
      <c r="I10" s="135">
        <v>14</v>
      </c>
      <c r="J10" s="135">
        <v>25</v>
      </c>
      <c r="K10" s="135">
        <v>20</v>
      </c>
      <c r="L10" s="136">
        <v>12</v>
      </c>
      <c r="M10" s="48">
        <v>75</v>
      </c>
      <c r="N10" s="73"/>
      <c r="O10" s="55"/>
    </row>
    <row r="11" spans="2:15" ht="15.75" thickBot="1" x14ac:dyDescent="0.3">
      <c r="B11" s="23" t="s">
        <v>11</v>
      </c>
      <c r="C11" s="124">
        <v>151</v>
      </c>
      <c r="D11" s="123">
        <v>172</v>
      </c>
      <c r="E11" s="126">
        <v>323</v>
      </c>
      <c r="O11" s="56"/>
    </row>
    <row r="12" spans="2:15" ht="15.75" thickBot="1" x14ac:dyDescent="0.3">
      <c r="B12" s="23" t="s">
        <v>12</v>
      </c>
      <c r="C12" s="124">
        <v>118</v>
      </c>
      <c r="D12" s="123">
        <v>139</v>
      </c>
      <c r="E12" s="126">
        <v>257</v>
      </c>
      <c r="O12" s="57"/>
    </row>
    <row r="13" spans="2:15" ht="15.75" thickBot="1" x14ac:dyDescent="0.3">
      <c r="B13" s="23" t="s">
        <v>19</v>
      </c>
      <c r="C13" s="124">
        <v>70</v>
      </c>
      <c r="D13" s="123">
        <v>73</v>
      </c>
      <c r="E13" s="126">
        <v>143</v>
      </c>
      <c r="G13" s="139" t="s">
        <v>39</v>
      </c>
      <c r="H13" s="27" t="s">
        <v>0</v>
      </c>
      <c r="I13" s="22"/>
    </row>
    <row r="14" spans="2:15" ht="15.75" thickBot="1" x14ac:dyDescent="0.3">
      <c r="G14" s="36" t="s">
        <v>4</v>
      </c>
      <c r="H14" s="17" t="s">
        <v>1</v>
      </c>
      <c r="I14" s="21" t="s">
        <v>2</v>
      </c>
    </row>
    <row r="15" spans="2:15" ht="15.75" thickBot="1" x14ac:dyDescent="0.3">
      <c r="G15" s="71" t="s">
        <v>54</v>
      </c>
      <c r="H15" s="17">
        <v>101</v>
      </c>
      <c r="I15" s="21">
        <v>103</v>
      </c>
      <c r="O15" s="55"/>
    </row>
    <row r="16" spans="2:15" ht="15.75" thickBot="1" x14ac:dyDescent="0.3">
      <c r="G16" s="69" t="s">
        <v>53</v>
      </c>
      <c r="H16" s="124">
        <v>84</v>
      </c>
      <c r="I16" s="123">
        <v>93</v>
      </c>
      <c r="O16" s="56"/>
    </row>
    <row r="17" spans="7:15" ht="15.75" thickBot="1" x14ac:dyDescent="0.3">
      <c r="G17" s="50" t="s">
        <v>6</v>
      </c>
      <c r="H17" s="124">
        <v>116</v>
      </c>
      <c r="I17" s="123">
        <v>99</v>
      </c>
      <c r="O17" s="56"/>
    </row>
    <row r="18" spans="7:15" ht="15.75" thickBot="1" x14ac:dyDescent="0.3">
      <c r="G18" s="51" t="s">
        <v>42</v>
      </c>
      <c r="H18" s="124">
        <v>106</v>
      </c>
      <c r="I18" s="123">
        <v>118</v>
      </c>
      <c r="O18" s="57"/>
    </row>
    <row r="19" spans="7:15" ht="15.75" thickBot="1" x14ac:dyDescent="0.3">
      <c r="G19" s="70" t="s">
        <v>52</v>
      </c>
      <c r="H19" s="124">
        <v>52</v>
      </c>
      <c r="I19" s="123">
        <v>53</v>
      </c>
      <c r="O19" s="215"/>
    </row>
    <row r="20" spans="7:15" ht="15.75" thickBot="1" x14ac:dyDescent="0.3">
      <c r="G20" s="52" t="s">
        <v>59</v>
      </c>
      <c r="H20" s="124">
        <v>33</v>
      </c>
      <c r="I20" s="123">
        <v>42</v>
      </c>
      <c r="O20" s="216"/>
    </row>
    <row r="21" spans="7:15" ht="15.75" thickBot="1" x14ac:dyDescent="0.3">
      <c r="O21" s="217"/>
    </row>
  </sheetData>
  <sortState xmlns:xlrd2="http://schemas.microsoft.com/office/spreadsheetml/2017/richdata2" ref="G13:I20">
    <sortCondition ref="G15"/>
  </sortState>
  <mergeCells count="2">
    <mergeCell ref="O4:O6"/>
    <mergeCell ref="O19:O21"/>
  </mergeCells>
  <pageMargins left="0.511811024" right="0.511811024" top="0.78740157499999996" bottom="0.78740157499999996" header="0.31496062000000002" footer="0.31496062000000002"/>
  <pageSetup paperSize="9" scale="10" orientation="portrait" verticalDpi="30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8" name="Button 4">
              <controlPr defaultSize="0" print="0" autoFill="0" autoPict="0" macro="[0]!Genero">
                <anchor moveWithCells="1" sizeWithCells="1">
                  <from>
                    <xdr:col>14</xdr:col>
                    <xdr:colOff>28575</xdr:colOff>
                    <xdr:row>3</xdr:row>
                    <xdr:rowOff>28575</xdr:rowOff>
                  </from>
                  <to>
                    <xdr:col>14</xdr:col>
                    <xdr:colOff>1676400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9" name="Button 5">
              <controlPr defaultSize="0" print="0" autoFill="0" autoPict="0" macro="[0]!RaçaEtnia">
                <anchor moveWithCells="1" sizeWithCells="1">
                  <from>
                    <xdr:col>14</xdr:col>
                    <xdr:colOff>28575</xdr:colOff>
                    <xdr:row>6</xdr:row>
                    <xdr:rowOff>9525</xdr:rowOff>
                  </from>
                  <to>
                    <xdr:col>14</xdr:col>
                    <xdr:colOff>1666875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10" name="Button 6">
              <controlPr defaultSize="0" print="0" autoFill="0" autoPict="0" macro="[0]!Formacao">
                <anchor moveWithCells="1" sizeWithCells="1">
                  <from>
                    <xdr:col>14</xdr:col>
                    <xdr:colOff>28575</xdr:colOff>
                    <xdr:row>9</xdr:row>
                    <xdr:rowOff>19050</xdr:rowOff>
                  </from>
                  <to>
                    <xdr:col>14</xdr:col>
                    <xdr:colOff>1657350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1" name="Button 7">
              <controlPr defaultSize="0" print="0" autoFill="0" autoPict="0" macro="[0]!Médias">
                <anchor moveWithCells="1" sizeWithCells="1">
                  <from>
                    <xdr:col>14</xdr:col>
                    <xdr:colOff>9525</xdr:colOff>
                    <xdr:row>14</xdr:row>
                    <xdr:rowOff>19050</xdr:rowOff>
                  </from>
                  <to>
                    <xdr:col>14</xdr:col>
                    <xdr:colOff>1676400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2" name="Button 8">
              <controlPr defaultSize="0" print="0" autoFill="0" autoPict="0" macro="[0]!Back1">
                <anchor moveWithCells="1">
                  <from>
                    <xdr:col>14</xdr:col>
                    <xdr:colOff>28575</xdr:colOff>
                    <xdr:row>18</xdr:row>
                    <xdr:rowOff>19050</xdr:rowOff>
                  </from>
                  <to>
                    <xdr:col>14</xdr:col>
                    <xdr:colOff>1685925</xdr:colOff>
                    <xdr:row>20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E748D-9137-4D3E-9DED-DABB43135C84}">
  <sheetPr codeName="Planilha5"/>
  <dimension ref="A1:V22"/>
  <sheetViews>
    <sheetView showGridLines="0" zoomScale="90" zoomScaleNormal="90" workbookViewId="0">
      <selection activeCell="O1" sqref="O1:O22"/>
    </sheetView>
  </sheetViews>
  <sheetFormatPr defaultRowHeight="15" x14ac:dyDescent="0.25"/>
  <cols>
    <col min="1" max="1" width="9.7109375" style="53" customWidth="1"/>
    <col min="2" max="3" width="10.85546875" hidden="1" customWidth="1"/>
    <col min="4" max="5" width="9.140625" hidden="1" customWidth="1"/>
    <col min="6" max="7" width="10.5703125" hidden="1" customWidth="1"/>
    <col min="8" max="8" width="10" customWidth="1"/>
    <col min="9" max="14" width="9.140625" hidden="1" customWidth="1"/>
    <col min="15" max="15" width="10.140625" customWidth="1"/>
    <col min="16" max="17" width="11.140625" customWidth="1"/>
    <col min="18" max="20" width="9.140625" customWidth="1"/>
    <col min="21" max="21" width="15" customWidth="1"/>
    <col min="22" max="22" width="9.140625" collapsed="1"/>
  </cols>
  <sheetData>
    <row r="1" spans="1:21" ht="15" customHeight="1" x14ac:dyDescent="0.25">
      <c r="A1" s="243" t="s">
        <v>0</v>
      </c>
      <c r="B1" s="225" t="s">
        <v>50</v>
      </c>
      <c r="C1" s="225"/>
      <c r="D1" s="225"/>
      <c r="E1" s="225"/>
      <c r="F1" s="225"/>
      <c r="G1" s="226"/>
      <c r="H1" s="250" t="s">
        <v>21</v>
      </c>
      <c r="I1" s="225" t="s">
        <v>74</v>
      </c>
      <c r="J1" s="225"/>
      <c r="K1" s="225"/>
      <c r="L1" s="225"/>
      <c r="M1" s="225"/>
      <c r="N1" s="226"/>
      <c r="O1" s="222" t="s">
        <v>51</v>
      </c>
      <c r="P1" s="225" t="s">
        <v>75</v>
      </c>
      <c r="Q1" s="225"/>
      <c r="R1" s="225"/>
      <c r="S1" s="225"/>
      <c r="T1" s="225"/>
      <c r="U1" s="226"/>
    </row>
    <row r="2" spans="1:21" ht="15.75" customHeight="1" thickBot="1" x14ac:dyDescent="0.3">
      <c r="A2" s="244"/>
      <c r="B2" s="227"/>
      <c r="C2" s="227"/>
      <c r="D2" s="227"/>
      <c r="E2" s="227"/>
      <c r="F2" s="227"/>
      <c r="G2" s="228"/>
      <c r="H2" s="251"/>
      <c r="I2" s="227"/>
      <c r="J2" s="227"/>
      <c r="K2" s="227"/>
      <c r="L2" s="227"/>
      <c r="M2" s="227"/>
      <c r="N2" s="228"/>
      <c r="O2" s="223"/>
      <c r="P2" s="227"/>
      <c r="Q2" s="227"/>
      <c r="R2" s="227"/>
      <c r="S2" s="227"/>
      <c r="T2" s="227"/>
      <c r="U2" s="228"/>
    </row>
    <row r="3" spans="1:21" x14ac:dyDescent="0.25">
      <c r="A3" s="244"/>
      <c r="B3" s="229"/>
      <c r="C3" s="229"/>
      <c r="D3" s="229"/>
      <c r="E3" s="229"/>
      <c r="F3" s="229"/>
      <c r="G3" s="230"/>
      <c r="H3" s="251"/>
      <c r="I3" s="229"/>
      <c r="J3" s="229"/>
      <c r="K3" s="229"/>
      <c r="L3" s="229"/>
      <c r="M3" s="229"/>
      <c r="N3" s="230"/>
      <c r="O3" s="223"/>
      <c r="P3" s="229"/>
      <c r="Q3" s="229"/>
      <c r="R3" s="229"/>
      <c r="S3" s="229"/>
      <c r="T3" s="229"/>
      <c r="U3" s="230"/>
    </row>
    <row r="4" spans="1:21" x14ac:dyDescent="0.25">
      <c r="A4" s="244"/>
      <c r="B4" s="231"/>
      <c r="C4" s="231"/>
      <c r="D4" s="231"/>
      <c r="E4" s="231"/>
      <c r="F4" s="231"/>
      <c r="G4" s="232"/>
      <c r="H4" s="251"/>
      <c r="I4" s="231"/>
      <c r="J4" s="231"/>
      <c r="K4" s="231"/>
      <c r="L4" s="231"/>
      <c r="M4" s="231"/>
      <c r="N4" s="232"/>
      <c r="O4" s="223"/>
      <c r="P4" s="231"/>
      <c r="Q4" s="231"/>
      <c r="R4" s="231"/>
      <c r="S4" s="231"/>
      <c r="T4" s="231"/>
      <c r="U4" s="232"/>
    </row>
    <row r="5" spans="1:21" x14ac:dyDescent="0.25">
      <c r="A5" s="244"/>
      <c r="B5" s="231"/>
      <c r="C5" s="231"/>
      <c r="D5" s="231"/>
      <c r="E5" s="231"/>
      <c r="F5" s="231"/>
      <c r="G5" s="232"/>
      <c r="H5" s="251"/>
      <c r="I5" s="231"/>
      <c r="J5" s="231"/>
      <c r="K5" s="231"/>
      <c r="L5" s="231"/>
      <c r="M5" s="231"/>
      <c r="N5" s="232"/>
      <c r="O5" s="223"/>
      <c r="P5" s="231"/>
      <c r="Q5" s="231"/>
      <c r="R5" s="231"/>
      <c r="S5" s="231"/>
      <c r="T5" s="231"/>
      <c r="U5" s="232"/>
    </row>
    <row r="6" spans="1:21" x14ac:dyDescent="0.25">
      <c r="A6" s="244"/>
      <c r="B6" s="231"/>
      <c r="C6" s="231"/>
      <c r="D6" s="231"/>
      <c r="E6" s="231"/>
      <c r="F6" s="231"/>
      <c r="G6" s="232"/>
      <c r="H6" s="251"/>
      <c r="I6" s="231"/>
      <c r="J6" s="231"/>
      <c r="K6" s="231"/>
      <c r="L6" s="231"/>
      <c r="M6" s="231"/>
      <c r="N6" s="232"/>
      <c r="O6" s="223"/>
      <c r="P6" s="231"/>
      <c r="Q6" s="231"/>
      <c r="R6" s="231"/>
      <c r="S6" s="231"/>
      <c r="T6" s="231"/>
      <c r="U6" s="232"/>
    </row>
    <row r="7" spans="1:21" x14ac:dyDescent="0.25">
      <c r="A7" s="244"/>
      <c r="B7" s="231"/>
      <c r="C7" s="231"/>
      <c r="D7" s="231"/>
      <c r="E7" s="231"/>
      <c r="F7" s="231"/>
      <c r="G7" s="232"/>
      <c r="H7" s="251"/>
      <c r="I7" s="231"/>
      <c r="J7" s="231"/>
      <c r="K7" s="231"/>
      <c r="L7" s="231"/>
      <c r="M7" s="231"/>
      <c r="N7" s="232"/>
      <c r="O7" s="223"/>
      <c r="P7" s="231"/>
      <c r="Q7" s="231"/>
      <c r="R7" s="231"/>
      <c r="S7" s="231"/>
      <c r="T7" s="231"/>
      <c r="U7" s="232"/>
    </row>
    <row r="8" spans="1:21" x14ac:dyDescent="0.25">
      <c r="A8" s="244"/>
      <c r="B8" s="231"/>
      <c r="C8" s="231"/>
      <c r="D8" s="231"/>
      <c r="E8" s="231"/>
      <c r="F8" s="231"/>
      <c r="G8" s="232"/>
      <c r="H8" s="251"/>
      <c r="I8" s="231"/>
      <c r="J8" s="231"/>
      <c r="K8" s="231"/>
      <c r="L8" s="231"/>
      <c r="M8" s="231"/>
      <c r="N8" s="232"/>
      <c r="O8" s="223"/>
      <c r="P8" s="231"/>
      <c r="Q8" s="231"/>
      <c r="R8" s="231"/>
      <c r="S8" s="231"/>
      <c r="T8" s="231"/>
      <c r="U8" s="232"/>
    </row>
    <row r="9" spans="1:21" x14ac:dyDescent="0.25">
      <c r="A9" s="244"/>
      <c r="B9" s="231"/>
      <c r="C9" s="231"/>
      <c r="D9" s="231"/>
      <c r="E9" s="231"/>
      <c r="F9" s="231"/>
      <c r="G9" s="232"/>
      <c r="H9" s="251"/>
      <c r="I9" s="231"/>
      <c r="J9" s="231"/>
      <c r="K9" s="231"/>
      <c r="L9" s="231"/>
      <c r="M9" s="231"/>
      <c r="N9" s="232"/>
      <c r="O9" s="223"/>
      <c r="P9" s="231"/>
      <c r="Q9" s="231"/>
      <c r="R9" s="231"/>
      <c r="S9" s="231"/>
      <c r="T9" s="231"/>
      <c r="U9" s="232"/>
    </row>
    <row r="10" spans="1:21" x14ac:dyDescent="0.25">
      <c r="A10" s="244"/>
      <c r="B10" s="231"/>
      <c r="C10" s="231"/>
      <c r="D10" s="231"/>
      <c r="E10" s="231"/>
      <c r="F10" s="231"/>
      <c r="G10" s="232"/>
      <c r="H10" s="251"/>
      <c r="I10" s="231"/>
      <c r="J10" s="231"/>
      <c r="K10" s="231"/>
      <c r="L10" s="231"/>
      <c r="M10" s="231"/>
      <c r="N10" s="232"/>
      <c r="O10" s="223"/>
      <c r="P10" s="231"/>
      <c r="Q10" s="231"/>
      <c r="R10" s="231"/>
      <c r="S10" s="231"/>
      <c r="T10" s="231"/>
      <c r="U10" s="232"/>
    </row>
    <row r="11" spans="1:21" x14ac:dyDescent="0.25">
      <c r="A11" s="244"/>
      <c r="B11" s="231"/>
      <c r="C11" s="231"/>
      <c r="D11" s="231"/>
      <c r="E11" s="231"/>
      <c r="F11" s="231"/>
      <c r="G11" s="232"/>
      <c r="H11" s="251"/>
      <c r="I11" s="231"/>
      <c r="J11" s="231"/>
      <c r="K11" s="231"/>
      <c r="L11" s="231"/>
      <c r="M11" s="231"/>
      <c r="N11" s="232"/>
      <c r="O11" s="223"/>
      <c r="P11" s="231"/>
      <c r="Q11" s="231"/>
      <c r="R11" s="231"/>
      <c r="S11" s="231"/>
      <c r="T11" s="231"/>
      <c r="U11" s="232"/>
    </row>
    <row r="12" spans="1:21" x14ac:dyDescent="0.25">
      <c r="A12" s="244"/>
      <c r="B12" s="231"/>
      <c r="C12" s="231"/>
      <c r="D12" s="231"/>
      <c r="E12" s="231"/>
      <c r="F12" s="231"/>
      <c r="G12" s="232"/>
      <c r="H12" s="251"/>
      <c r="I12" s="231"/>
      <c r="J12" s="231"/>
      <c r="K12" s="231"/>
      <c r="L12" s="231"/>
      <c r="M12" s="231"/>
      <c r="N12" s="232"/>
      <c r="O12" s="223"/>
      <c r="P12" s="231"/>
      <c r="Q12" s="231"/>
      <c r="R12" s="231"/>
      <c r="S12" s="231"/>
      <c r="T12" s="231"/>
      <c r="U12" s="232"/>
    </row>
    <row r="13" spans="1:21" x14ac:dyDescent="0.25">
      <c r="A13" s="244"/>
      <c r="B13" s="231"/>
      <c r="C13" s="231"/>
      <c r="D13" s="231"/>
      <c r="E13" s="231"/>
      <c r="F13" s="231"/>
      <c r="G13" s="232"/>
      <c r="H13" s="251"/>
      <c r="I13" s="231"/>
      <c r="J13" s="231"/>
      <c r="K13" s="231"/>
      <c r="L13" s="231"/>
      <c r="M13" s="231"/>
      <c r="N13" s="232"/>
      <c r="O13" s="223"/>
      <c r="P13" s="231"/>
      <c r="Q13" s="231"/>
      <c r="R13" s="231"/>
      <c r="S13" s="231"/>
      <c r="T13" s="231"/>
      <c r="U13" s="232"/>
    </row>
    <row r="14" spans="1:21" x14ac:dyDescent="0.25">
      <c r="A14" s="244"/>
      <c r="B14" s="231"/>
      <c r="C14" s="231"/>
      <c r="D14" s="231"/>
      <c r="E14" s="231"/>
      <c r="F14" s="231"/>
      <c r="G14" s="232"/>
      <c r="H14" s="251"/>
      <c r="I14" s="231"/>
      <c r="J14" s="231"/>
      <c r="K14" s="231"/>
      <c r="L14" s="231"/>
      <c r="M14" s="231"/>
      <c r="N14" s="232"/>
      <c r="O14" s="223"/>
      <c r="P14" s="231"/>
      <c r="Q14" s="231"/>
      <c r="R14" s="231"/>
      <c r="S14" s="231"/>
      <c r="T14" s="231"/>
      <c r="U14" s="232"/>
    </row>
    <row r="15" spans="1:21" x14ac:dyDescent="0.25">
      <c r="A15" s="244"/>
      <c r="B15" s="231"/>
      <c r="C15" s="231"/>
      <c r="D15" s="231"/>
      <c r="E15" s="231"/>
      <c r="F15" s="231"/>
      <c r="G15" s="232"/>
      <c r="H15" s="251"/>
      <c r="I15" s="231"/>
      <c r="J15" s="231"/>
      <c r="K15" s="231"/>
      <c r="L15" s="231"/>
      <c r="M15" s="231"/>
      <c r="N15" s="232"/>
      <c r="O15" s="223"/>
      <c r="P15" s="231"/>
      <c r="Q15" s="231"/>
      <c r="R15" s="231"/>
      <c r="S15" s="231"/>
      <c r="T15" s="231"/>
      <c r="U15" s="232"/>
    </row>
    <row r="16" spans="1:21" x14ac:dyDescent="0.25">
      <c r="A16" s="244"/>
      <c r="B16" s="231"/>
      <c r="C16" s="231"/>
      <c r="D16" s="231"/>
      <c r="E16" s="231"/>
      <c r="F16" s="231"/>
      <c r="G16" s="232"/>
      <c r="H16" s="251"/>
      <c r="I16" s="231"/>
      <c r="J16" s="231"/>
      <c r="K16" s="231"/>
      <c r="L16" s="231"/>
      <c r="M16" s="231"/>
      <c r="N16" s="232"/>
      <c r="O16" s="223"/>
      <c r="P16" s="231"/>
      <c r="Q16" s="231"/>
      <c r="R16" s="231"/>
      <c r="S16" s="231"/>
      <c r="T16" s="231"/>
      <c r="U16" s="232"/>
    </row>
    <row r="17" spans="1:21" x14ac:dyDescent="0.25">
      <c r="A17" s="244"/>
      <c r="B17" s="231"/>
      <c r="C17" s="231"/>
      <c r="D17" s="231"/>
      <c r="E17" s="231"/>
      <c r="F17" s="231"/>
      <c r="G17" s="232"/>
      <c r="H17" s="251"/>
      <c r="I17" s="231"/>
      <c r="J17" s="231"/>
      <c r="K17" s="231"/>
      <c r="L17" s="231"/>
      <c r="M17" s="231"/>
      <c r="N17" s="232"/>
      <c r="O17" s="223"/>
      <c r="P17" s="231"/>
      <c r="Q17" s="231"/>
      <c r="R17" s="231"/>
      <c r="S17" s="231"/>
      <c r="T17" s="231"/>
      <c r="U17" s="232"/>
    </row>
    <row r="18" spans="1:21" x14ac:dyDescent="0.25">
      <c r="A18" s="244"/>
      <c r="B18" s="231"/>
      <c r="C18" s="231"/>
      <c r="D18" s="231"/>
      <c r="E18" s="231"/>
      <c r="F18" s="231"/>
      <c r="G18" s="232"/>
      <c r="H18" s="251"/>
      <c r="I18" s="231"/>
      <c r="J18" s="231"/>
      <c r="K18" s="231"/>
      <c r="L18" s="231"/>
      <c r="M18" s="231"/>
      <c r="N18" s="232"/>
      <c r="O18" s="223"/>
      <c r="P18" s="231"/>
      <c r="Q18" s="231"/>
      <c r="R18" s="231"/>
      <c r="S18" s="231"/>
      <c r="T18" s="231"/>
      <c r="U18" s="232"/>
    </row>
    <row r="19" spans="1:21" x14ac:dyDescent="0.25">
      <c r="A19" s="244"/>
      <c r="B19" s="231"/>
      <c r="C19" s="231"/>
      <c r="D19" s="231"/>
      <c r="E19" s="231"/>
      <c r="F19" s="231"/>
      <c r="G19" s="232"/>
      <c r="H19" s="251"/>
      <c r="I19" s="231"/>
      <c r="J19" s="231"/>
      <c r="K19" s="231"/>
      <c r="L19" s="231"/>
      <c r="M19" s="231"/>
      <c r="N19" s="232"/>
      <c r="O19" s="223"/>
      <c r="P19" s="231"/>
      <c r="Q19" s="231"/>
      <c r="R19" s="231"/>
      <c r="S19" s="231"/>
      <c r="T19" s="231"/>
      <c r="U19" s="232"/>
    </row>
    <row r="20" spans="1:21" ht="15.75" thickBot="1" x14ac:dyDescent="0.3">
      <c r="A20" s="244"/>
      <c r="B20" s="233"/>
      <c r="C20" s="233"/>
      <c r="D20" s="233"/>
      <c r="E20" s="233"/>
      <c r="F20" s="233"/>
      <c r="G20" s="234"/>
      <c r="H20" s="251"/>
      <c r="I20" s="233"/>
      <c r="J20" s="233"/>
      <c r="K20" s="233"/>
      <c r="L20" s="233"/>
      <c r="M20" s="233"/>
      <c r="N20" s="234"/>
      <c r="O20" s="223"/>
      <c r="P20" s="233"/>
      <c r="Q20" s="233"/>
      <c r="R20" s="233"/>
      <c r="S20" s="233"/>
      <c r="T20" s="233"/>
      <c r="U20" s="234"/>
    </row>
    <row r="21" spans="1:21" ht="15.75" thickBot="1" x14ac:dyDescent="0.3">
      <c r="A21" s="244"/>
      <c r="B21" s="246" t="s">
        <v>44</v>
      </c>
      <c r="C21" s="247"/>
      <c r="D21" s="218" t="s">
        <v>46</v>
      </c>
      <c r="E21" s="219"/>
      <c r="F21" s="237" t="s">
        <v>45</v>
      </c>
      <c r="G21" s="238"/>
      <c r="H21" s="251"/>
      <c r="I21" s="235" t="s">
        <v>47</v>
      </c>
      <c r="J21" s="236"/>
      <c r="K21" s="218" t="s">
        <v>49</v>
      </c>
      <c r="L21" s="219"/>
      <c r="M21" s="237" t="s">
        <v>48</v>
      </c>
      <c r="N21" s="238"/>
      <c r="O21" s="223"/>
      <c r="P21" s="235" t="s">
        <v>56</v>
      </c>
      <c r="Q21" s="236"/>
      <c r="R21" s="218" t="s">
        <v>57</v>
      </c>
      <c r="S21" s="219"/>
      <c r="T21" s="237" t="s">
        <v>55</v>
      </c>
      <c r="U21" s="238"/>
    </row>
    <row r="22" spans="1:21" ht="53.25" customHeight="1" thickBot="1" x14ac:dyDescent="0.3">
      <c r="A22" s="245"/>
      <c r="B22" s="248">
        <f>GETPIVOTDATA("Contagem",Proporção!$B$3,"Gênero","Masculino")</f>
        <v>508</v>
      </c>
      <c r="C22" s="249"/>
      <c r="D22" s="248">
        <f>SUM(B22,F22)</f>
        <v>1000</v>
      </c>
      <c r="E22" s="249"/>
      <c r="F22" s="248">
        <f>GETPIVOTDATA("Contagem",Proporção!$B$3,"Gênero","Feminino")</f>
        <v>492</v>
      </c>
      <c r="G22" s="249"/>
      <c r="H22" s="252"/>
      <c r="I22" s="248" t="str">
        <f>INDEX(Proporção!$B$9:$B$13,MATCH(MAX(Proporção!$E$9:$E$13),Proporção!$E$9:$E$13,0))</f>
        <v>grupo C</v>
      </c>
      <c r="J22" s="249"/>
      <c r="K22" s="220">
        <f>AVERAGE(Proporção!E9:E13)</f>
        <v>200</v>
      </c>
      <c r="L22" s="221"/>
      <c r="M22" s="220" t="str">
        <f>INDEX(Proporção!$B$9:$B$13,MATCH(MIN(Proporção!$E$9:$E$13),Proporção!$E$9:$E$13,0))</f>
        <v>grupo A</v>
      </c>
      <c r="N22" s="221"/>
      <c r="O22" s="224"/>
      <c r="P22" s="239">
        <f>GETPIVOTDATA("Contagem",Proporção!$G$3,"Nível de educação dos pais","ensino incompleto")</f>
        <v>177</v>
      </c>
      <c r="Q22" s="240"/>
      <c r="R22" s="241" t="str">
        <f>INDEX(Proporção!G5:G9,MATCH(MAX(Proporção!M5:M10),Proporção!M5:M10,0))</f>
        <v>graduação incompleta</v>
      </c>
      <c r="S22" s="242"/>
      <c r="T22" s="239">
        <f>GETPIVOTDATA("Contagem",Proporção!$G$3,"Nível de educação dos pais","grau de bacharelado")+GETPIVOTDATA("Contagem",Proporção!$G$3,"Nível de educação dos pais","mestrado")</f>
        <v>180</v>
      </c>
      <c r="U22" s="240"/>
    </row>
  </sheetData>
  <sheetProtection sheet="1"/>
  <mergeCells count="27">
    <mergeCell ref="I22:J22"/>
    <mergeCell ref="F21:G21"/>
    <mergeCell ref="F22:G22"/>
    <mergeCell ref="H1:H22"/>
    <mergeCell ref="B3:G20"/>
    <mergeCell ref="B1:G2"/>
    <mergeCell ref="A1:A22"/>
    <mergeCell ref="B21:C21"/>
    <mergeCell ref="B22:C22"/>
    <mergeCell ref="D21:E21"/>
    <mergeCell ref="D22:E22"/>
    <mergeCell ref="K21:L21"/>
    <mergeCell ref="K22:L22"/>
    <mergeCell ref="O1:O22"/>
    <mergeCell ref="P1:U2"/>
    <mergeCell ref="P3:U20"/>
    <mergeCell ref="P21:Q21"/>
    <mergeCell ref="R21:S21"/>
    <mergeCell ref="T21:U21"/>
    <mergeCell ref="P22:Q22"/>
    <mergeCell ref="R22:S22"/>
    <mergeCell ref="T22:U22"/>
    <mergeCell ref="M21:N21"/>
    <mergeCell ref="M22:N22"/>
    <mergeCell ref="I1:N2"/>
    <mergeCell ref="I3:N20"/>
    <mergeCell ref="I21:J21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ack">
                <anchor moveWithCells="1" sizeWithCells="1">
                  <from>
                    <xdr:col>0</xdr:col>
                    <xdr:colOff>38100</xdr:colOff>
                    <xdr:row>0</xdr:row>
                    <xdr:rowOff>28575</xdr:rowOff>
                  </from>
                  <to>
                    <xdr:col>0</xdr:col>
                    <xdr:colOff>609600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/>
  <dimension ref="A1:I1001"/>
  <sheetViews>
    <sheetView workbookViewId="0">
      <pane ySplit="1" topLeftCell="A44" activePane="bottomLeft" state="frozen"/>
      <selection pane="bottomLeft" activeCell="C41" sqref="C41"/>
    </sheetView>
  </sheetViews>
  <sheetFormatPr defaultRowHeight="15" x14ac:dyDescent="0.25"/>
  <cols>
    <col min="1" max="1" width="10" style="2" bestFit="1" customWidth="1"/>
    <col min="2" max="2" width="14.28515625" style="1" bestFit="1" customWidth="1"/>
    <col min="3" max="3" width="32.28515625" style="1" bestFit="1" customWidth="1"/>
    <col min="4" max="4" width="12.7109375" style="1" customWidth="1"/>
    <col min="5" max="5" width="13.85546875" style="1" bestFit="1" customWidth="1"/>
    <col min="6" max="6" width="39.5703125" style="1" bestFit="1" customWidth="1"/>
    <col min="7" max="7" width="27.7109375" style="1" bestFit="1" customWidth="1"/>
    <col min="8" max="8" width="25.140625" style="1" bestFit="1" customWidth="1"/>
    <col min="9" max="9" width="25.28515625" style="1" bestFit="1" customWidth="1"/>
  </cols>
  <sheetData>
    <row r="1" spans="1:9" s="81" customFormat="1" ht="39" customHeight="1" thickBot="1" x14ac:dyDescent="0.3">
      <c r="A1" s="82" t="s">
        <v>0</v>
      </c>
      <c r="B1" s="83" t="s">
        <v>3</v>
      </c>
      <c r="C1" s="84" t="s">
        <v>4</v>
      </c>
      <c r="D1" s="80" t="s">
        <v>27</v>
      </c>
      <c r="E1" s="85" t="s">
        <v>5</v>
      </c>
      <c r="F1" s="86" t="s">
        <v>13</v>
      </c>
      <c r="G1" s="87" t="s">
        <v>16</v>
      </c>
      <c r="H1" s="88" t="s">
        <v>17</v>
      </c>
      <c r="I1" s="89" t="s">
        <v>18</v>
      </c>
    </row>
    <row r="2" spans="1:9" x14ac:dyDescent="0.25">
      <c r="A2" s="2" t="s">
        <v>1</v>
      </c>
      <c r="B2" s="1" t="s">
        <v>9</v>
      </c>
      <c r="C2" s="74" t="s">
        <v>53</v>
      </c>
      <c r="D2" s="74">
        <f>COUNTIFS($C$2:C2,C2,$C$10:C10,C10,$C$23:C23,C23,$C$32:C32,C32,$C$36:C36,C36)</f>
        <v>1</v>
      </c>
      <c r="E2" s="1" t="s">
        <v>7</v>
      </c>
      <c r="F2" s="1" t="s">
        <v>14</v>
      </c>
      <c r="G2" s="1">
        <v>57</v>
      </c>
      <c r="H2" s="1">
        <v>53</v>
      </c>
      <c r="I2" s="1">
        <v>54</v>
      </c>
    </row>
    <row r="3" spans="1:9" x14ac:dyDescent="0.25">
      <c r="A3" s="2" t="s">
        <v>1</v>
      </c>
      <c r="B3" s="1" t="s">
        <v>9</v>
      </c>
      <c r="C3" s="74" t="s">
        <v>53</v>
      </c>
      <c r="D3" s="74">
        <f>COUNTIF($C$2:C3,C3)</f>
        <v>2</v>
      </c>
      <c r="E3" s="1" t="s">
        <v>7</v>
      </c>
      <c r="F3" s="1" t="s">
        <v>14</v>
      </c>
      <c r="G3" s="1">
        <v>70</v>
      </c>
      <c r="H3" s="1">
        <v>82</v>
      </c>
      <c r="I3" s="1">
        <v>83</v>
      </c>
    </row>
    <row r="4" spans="1:9" x14ac:dyDescent="0.25">
      <c r="A4" s="2" t="s">
        <v>1</v>
      </c>
      <c r="B4" s="1" t="s">
        <v>9</v>
      </c>
      <c r="C4" s="74" t="s">
        <v>53</v>
      </c>
      <c r="D4" s="74">
        <f>COUNTIF($C$2:C4,C4)</f>
        <v>3</v>
      </c>
      <c r="E4" s="1" t="s">
        <v>7</v>
      </c>
      <c r="F4" s="1" t="s">
        <v>14</v>
      </c>
      <c r="G4" s="1">
        <v>70</v>
      </c>
      <c r="H4" s="1">
        <v>75</v>
      </c>
      <c r="I4" s="1">
        <v>70</v>
      </c>
    </row>
    <row r="5" spans="1:9" x14ac:dyDescent="0.25">
      <c r="A5" s="2" t="s">
        <v>1</v>
      </c>
      <c r="B5" s="1" t="s">
        <v>9</v>
      </c>
      <c r="C5" s="74" t="s">
        <v>53</v>
      </c>
      <c r="D5" s="74">
        <f>COUNTIF($C$2:C5,C5)</f>
        <v>4</v>
      </c>
      <c r="E5" s="1" t="s">
        <v>7</v>
      </c>
      <c r="F5" s="1" t="s">
        <v>15</v>
      </c>
      <c r="G5" s="1">
        <v>57</v>
      </c>
      <c r="H5" s="1">
        <v>68</v>
      </c>
      <c r="I5" s="1">
        <v>74</v>
      </c>
    </row>
    <row r="6" spans="1:9" x14ac:dyDescent="0.25">
      <c r="A6" s="2" t="s">
        <v>1</v>
      </c>
      <c r="B6" s="1" t="s">
        <v>9</v>
      </c>
      <c r="C6" s="74" t="s">
        <v>53</v>
      </c>
      <c r="D6" s="74">
        <f>COUNTIF($C$2:C6,C6)</f>
        <v>5</v>
      </c>
      <c r="E6" s="1" t="s">
        <v>7</v>
      </c>
      <c r="F6" s="1" t="s">
        <v>15</v>
      </c>
      <c r="G6" s="1">
        <v>64</v>
      </c>
      <c r="H6" s="1">
        <v>81</v>
      </c>
      <c r="I6" s="1">
        <v>87</v>
      </c>
    </row>
    <row r="7" spans="1:9" x14ac:dyDescent="0.25">
      <c r="A7" s="2" t="s">
        <v>1</v>
      </c>
      <c r="B7" s="1" t="s">
        <v>9</v>
      </c>
      <c r="C7" s="74" t="s">
        <v>53</v>
      </c>
      <c r="D7" s="74">
        <f>COUNTIF($C$2:C7,C7)</f>
        <v>6</v>
      </c>
      <c r="E7" s="1" t="s">
        <v>73</v>
      </c>
      <c r="F7" s="1" t="s">
        <v>14</v>
      </c>
      <c r="G7" s="1">
        <v>57</v>
      </c>
      <c r="H7" s="1">
        <v>70</v>
      </c>
      <c r="I7" s="1">
        <v>71</v>
      </c>
    </row>
    <row r="8" spans="1:9" x14ac:dyDescent="0.25">
      <c r="A8" s="2" t="s">
        <v>1</v>
      </c>
      <c r="B8" s="1" t="s">
        <v>9</v>
      </c>
      <c r="C8" s="74" t="s">
        <v>53</v>
      </c>
      <c r="D8" s="74">
        <f>COUNTIF($C$2:C8,C8)</f>
        <v>7</v>
      </c>
      <c r="E8" s="1" t="s">
        <v>73</v>
      </c>
      <c r="F8" s="1" t="s">
        <v>14</v>
      </c>
      <c r="G8" s="1">
        <v>47</v>
      </c>
      <c r="H8" s="1">
        <v>58</v>
      </c>
      <c r="I8" s="1">
        <v>54</v>
      </c>
    </row>
    <row r="9" spans="1:9" x14ac:dyDescent="0.25">
      <c r="A9" s="2" t="s">
        <v>1</v>
      </c>
      <c r="B9" s="1" t="s">
        <v>9</v>
      </c>
      <c r="C9" s="74" t="s">
        <v>53</v>
      </c>
      <c r="D9" s="74">
        <f>COUNTIF($C$2:C9,C9)</f>
        <v>8</v>
      </c>
      <c r="E9" s="1" t="s">
        <v>73</v>
      </c>
      <c r="F9" s="1" t="s">
        <v>15</v>
      </c>
      <c r="G9" s="1">
        <v>53</v>
      </c>
      <c r="H9" s="1">
        <v>77</v>
      </c>
      <c r="I9" s="1">
        <v>75</v>
      </c>
    </row>
    <row r="10" spans="1:9" x14ac:dyDescent="0.25">
      <c r="A10" s="2" t="s">
        <v>1</v>
      </c>
      <c r="B10" s="1" t="s">
        <v>9</v>
      </c>
      <c r="C10" s="75" t="s">
        <v>6</v>
      </c>
      <c r="D10" s="75">
        <f>COUNTIF($C$2:C10,C10)</f>
        <v>1</v>
      </c>
      <c r="E10" s="1" t="s">
        <v>7</v>
      </c>
      <c r="F10" s="1" t="s">
        <v>14</v>
      </c>
      <c r="G10" s="1">
        <v>61</v>
      </c>
      <c r="H10" s="1">
        <v>73</v>
      </c>
      <c r="I10" s="1">
        <v>70</v>
      </c>
    </row>
    <row r="11" spans="1:9" x14ac:dyDescent="0.25">
      <c r="A11" s="2" t="s">
        <v>1</v>
      </c>
      <c r="B11" s="1" t="s">
        <v>9</v>
      </c>
      <c r="C11" s="75" t="s">
        <v>6</v>
      </c>
      <c r="D11" s="75">
        <f>COUNTIF($C$2:C11,C11)</f>
        <v>2</v>
      </c>
      <c r="E11" s="1" t="s">
        <v>7</v>
      </c>
      <c r="F11" s="1" t="s">
        <v>14</v>
      </c>
      <c r="G11" s="1">
        <v>64</v>
      </c>
      <c r="H11" s="1">
        <v>72</v>
      </c>
      <c r="I11" s="1">
        <v>66</v>
      </c>
    </row>
    <row r="12" spans="1:9" x14ac:dyDescent="0.25">
      <c r="A12" s="2" t="s">
        <v>1</v>
      </c>
      <c r="B12" s="1" t="s">
        <v>9</v>
      </c>
      <c r="C12" s="75" t="s">
        <v>6</v>
      </c>
      <c r="D12" s="75">
        <f>COUNTIF($C$2:C12,C12)</f>
        <v>3</v>
      </c>
      <c r="E12" s="1" t="s">
        <v>7</v>
      </c>
      <c r="F12" s="1" t="s">
        <v>14</v>
      </c>
      <c r="G12" s="1">
        <v>79</v>
      </c>
      <c r="H12" s="1">
        <v>97</v>
      </c>
      <c r="I12" s="1">
        <v>85</v>
      </c>
    </row>
    <row r="13" spans="1:9" x14ac:dyDescent="0.25">
      <c r="A13" s="2" t="s">
        <v>1</v>
      </c>
      <c r="B13" s="1" t="s">
        <v>9</v>
      </c>
      <c r="C13" s="75" t="s">
        <v>6</v>
      </c>
      <c r="D13" s="75">
        <f>COUNTIF($C$2:C13,C13)</f>
        <v>4</v>
      </c>
      <c r="E13" s="1" t="s">
        <v>7</v>
      </c>
      <c r="F13" s="1" t="s">
        <v>14</v>
      </c>
      <c r="G13" s="1">
        <v>61</v>
      </c>
      <c r="H13" s="1">
        <v>69</v>
      </c>
      <c r="I13" s="1">
        <v>69</v>
      </c>
    </row>
    <row r="14" spans="1:9" x14ac:dyDescent="0.25">
      <c r="A14" s="2" t="s">
        <v>1</v>
      </c>
      <c r="B14" s="1" t="s">
        <v>9</v>
      </c>
      <c r="C14" s="75" t="s">
        <v>6</v>
      </c>
      <c r="D14" s="75">
        <f>COUNTIF($C$2:C14,C14)</f>
        <v>5</v>
      </c>
      <c r="E14" s="1" t="s">
        <v>7</v>
      </c>
      <c r="F14" s="1" t="s">
        <v>14</v>
      </c>
      <c r="G14" s="1">
        <v>79</v>
      </c>
      <c r="H14" s="1">
        <v>86</v>
      </c>
      <c r="I14" s="1">
        <v>84</v>
      </c>
    </row>
    <row r="15" spans="1:9" x14ac:dyDescent="0.25">
      <c r="A15" s="2" t="s">
        <v>1</v>
      </c>
      <c r="B15" s="1" t="s">
        <v>9</v>
      </c>
      <c r="C15" s="75" t="s">
        <v>6</v>
      </c>
      <c r="D15" s="75">
        <f>COUNTIF($C$2:C15,C15)</f>
        <v>6</v>
      </c>
      <c r="E15" s="1" t="s">
        <v>7</v>
      </c>
      <c r="F15" s="1" t="s">
        <v>14</v>
      </c>
      <c r="G15" s="1">
        <v>61</v>
      </c>
      <c r="H15" s="1">
        <v>69</v>
      </c>
      <c r="I15" s="1">
        <v>66</v>
      </c>
    </row>
    <row r="16" spans="1:9" x14ac:dyDescent="0.25">
      <c r="A16" s="2" t="s">
        <v>1</v>
      </c>
      <c r="B16" s="1" t="s">
        <v>9</v>
      </c>
      <c r="C16" s="75" t="s">
        <v>6</v>
      </c>
      <c r="D16" s="75">
        <f>COUNTIF($C$2:C16,C16)</f>
        <v>7</v>
      </c>
      <c r="E16" s="1" t="s">
        <v>7</v>
      </c>
      <c r="F16" s="1" t="s">
        <v>14</v>
      </c>
      <c r="G16" s="1">
        <v>52</v>
      </c>
      <c r="H16" s="1">
        <v>68</v>
      </c>
      <c r="I16" s="1">
        <v>66</v>
      </c>
    </row>
    <row r="17" spans="1:9" x14ac:dyDescent="0.25">
      <c r="A17" s="2" t="s">
        <v>1</v>
      </c>
      <c r="B17" s="1" t="s">
        <v>9</v>
      </c>
      <c r="C17" s="75" t="s">
        <v>6</v>
      </c>
      <c r="D17" s="75">
        <f>COUNTIF($C$2:C17,C17)</f>
        <v>8</v>
      </c>
      <c r="E17" s="1" t="s">
        <v>7</v>
      </c>
      <c r="F17" s="1" t="s">
        <v>14</v>
      </c>
      <c r="G17" s="1">
        <v>61</v>
      </c>
      <c r="H17" s="1">
        <v>73</v>
      </c>
      <c r="I17" s="1">
        <v>74</v>
      </c>
    </row>
    <row r="18" spans="1:9" x14ac:dyDescent="0.25">
      <c r="A18" s="2" t="s">
        <v>1</v>
      </c>
      <c r="B18" s="1" t="s">
        <v>9</v>
      </c>
      <c r="C18" s="75" t="s">
        <v>6</v>
      </c>
      <c r="D18" s="75">
        <f>COUNTIF($C$2:C18,C18)</f>
        <v>9</v>
      </c>
      <c r="E18" s="1" t="s">
        <v>7</v>
      </c>
      <c r="F18" s="1" t="s">
        <v>15</v>
      </c>
      <c r="G18" s="1">
        <v>56</v>
      </c>
      <c r="H18" s="1">
        <v>68</v>
      </c>
      <c r="I18" s="1">
        <v>70</v>
      </c>
    </row>
    <row r="19" spans="1:9" x14ac:dyDescent="0.25">
      <c r="A19" s="2" t="s">
        <v>1</v>
      </c>
      <c r="B19" s="1" t="s">
        <v>9</v>
      </c>
      <c r="C19" s="75" t="s">
        <v>6</v>
      </c>
      <c r="D19" s="75">
        <f>COUNTIF($C$2:C19,C19)</f>
        <v>10</v>
      </c>
      <c r="E19" s="1" t="s">
        <v>7</v>
      </c>
      <c r="F19" s="1" t="s">
        <v>15</v>
      </c>
      <c r="G19" s="1">
        <v>68</v>
      </c>
      <c r="H19" s="1">
        <v>75</v>
      </c>
      <c r="I19" s="1">
        <v>73</v>
      </c>
    </row>
    <row r="20" spans="1:9" x14ac:dyDescent="0.25">
      <c r="A20" s="2" t="s">
        <v>1</v>
      </c>
      <c r="B20" s="1" t="s">
        <v>9</v>
      </c>
      <c r="C20" s="75" t="s">
        <v>6</v>
      </c>
      <c r="D20" s="75">
        <f>COUNTIF($C$2:C20,C20)</f>
        <v>11</v>
      </c>
      <c r="E20" s="1" t="s">
        <v>7</v>
      </c>
      <c r="F20" s="1" t="s">
        <v>15</v>
      </c>
      <c r="G20" s="1">
        <v>82</v>
      </c>
      <c r="H20" s="1">
        <v>95</v>
      </c>
      <c r="I20" s="1">
        <v>93</v>
      </c>
    </row>
    <row r="21" spans="1:9" x14ac:dyDescent="0.25">
      <c r="A21" s="2" t="s">
        <v>1</v>
      </c>
      <c r="B21" s="1" t="s">
        <v>9</v>
      </c>
      <c r="C21" s="75" t="s">
        <v>6</v>
      </c>
      <c r="D21" s="75">
        <f>COUNTIF($C$2:C21,C21)</f>
        <v>12</v>
      </c>
      <c r="E21" s="1" t="s">
        <v>7</v>
      </c>
      <c r="F21" s="1" t="s">
        <v>15</v>
      </c>
      <c r="G21" s="1">
        <v>67</v>
      </c>
      <c r="H21" s="1">
        <v>86</v>
      </c>
      <c r="I21" s="1">
        <v>86</v>
      </c>
    </row>
    <row r="22" spans="1:9" x14ac:dyDescent="0.25">
      <c r="A22" s="2" t="s">
        <v>1</v>
      </c>
      <c r="B22" s="1" t="s">
        <v>9</v>
      </c>
      <c r="C22" s="75" t="s">
        <v>6</v>
      </c>
      <c r="D22" s="75">
        <f>COUNTIF($C$2:C22,C22)</f>
        <v>13</v>
      </c>
      <c r="E22" s="1" t="s">
        <v>73</v>
      </c>
      <c r="F22" s="1" t="s">
        <v>14</v>
      </c>
      <c r="G22" s="1">
        <v>34</v>
      </c>
      <c r="H22" s="1">
        <v>49</v>
      </c>
      <c r="I22" s="1">
        <v>47</v>
      </c>
    </row>
    <row r="23" spans="1:9" x14ac:dyDescent="0.25">
      <c r="A23" s="2" t="s">
        <v>1</v>
      </c>
      <c r="B23" s="1" t="s">
        <v>9</v>
      </c>
      <c r="C23" s="76" t="s">
        <v>54</v>
      </c>
      <c r="D23" s="76">
        <f>COUNTIF($C$2:C23,C23)</f>
        <v>1</v>
      </c>
      <c r="E23" s="1" t="s">
        <v>7</v>
      </c>
      <c r="F23" s="1" t="s">
        <v>14</v>
      </c>
      <c r="G23" s="1">
        <v>53</v>
      </c>
      <c r="H23" s="1">
        <v>57</v>
      </c>
      <c r="I23" s="1">
        <v>60</v>
      </c>
    </row>
    <row r="24" spans="1:9" x14ac:dyDescent="0.25">
      <c r="A24" s="2" t="s">
        <v>1</v>
      </c>
      <c r="B24" s="1" t="s">
        <v>9</v>
      </c>
      <c r="C24" s="76" t="s">
        <v>54</v>
      </c>
      <c r="D24" s="76">
        <f>COUNTIF($C$2:C24,C24)</f>
        <v>2</v>
      </c>
      <c r="E24" s="1" t="s">
        <v>7</v>
      </c>
      <c r="F24" s="1" t="s">
        <v>14</v>
      </c>
      <c r="G24" s="1">
        <v>72</v>
      </c>
      <c r="H24" s="1">
        <v>85</v>
      </c>
      <c r="I24" s="1">
        <v>81</v>
      </c>
    </row>
    <row r="25" spans="1:9" x14ac:dyDescent="0.25">
      <c r="A25" s="2" t="s">
        <v>1</v>
      </c>
      <c r="B25" s="1" t="s">
        <v>9</v>
      </c>
      <c r="C25" s="76" t="s">
        <v>54</v>
      </c>
      <c r="D25" s="76">
        <f>COUNTIF($C$2:C25,C25)</f>
        <v>3</v>
      </c>
      <c r="E25" s="1" t="s">
        <v>7</v>
      </c>
      <c r="F25" s="1" t="s">
        <v>14</v>
      </c>
      <c r="G25" s="1">
        <v>51</v>
      </c>
      <c r="H25" s="1">
        <v>69</v>
      </c>
      <c r="I25" s="1">
        <v>65</v>
      </c>
    </row>
    <row r="26" spans="1:9" x14ac:dyDescent="0.25">
      <c r="A26" s="2" t="s">
        <v>1</v>
      </c>
      <c r="B26" s="1" t="s">
        <v>9</v>
      </c>
      <c r="C26" s="76" t="s">
        <v>54</v>
      </c>
      <c r="D26" s="76">
        <f>COUNTIF($C$2:C26,C26)</f>
        <v>4</v>
      </c>
      <c r="E26" s="1" t="s">
        <v>7</v>
      </c>
      <c r="F26" s="1" t="s">
        <v>14</v>
      </c>
      <c r="G26" s="1">
        <v>73</v>
      </c>
      <c r="H26" s="1">
        <v>76</v>
      </c>
      <c r="I26" s="1">
        <v>74</v>
      </c>
    </row>
    <row r="27" spans="1:9" x14ac:dyDescent="0.25">
      <c r="A27" s="2" t="s">
        <v>1</v>
      </c>
      <c r="B27" s="1" t="s">
        <v>9</v>
      </c>
      <c r="C27" s="76" t="s">
        <v>54</v>
      </c>
      <c r="D27" s="76">
        <f>COUNTIF($C$2:C27,C27)</f>
        <v>5</v>
      </c>
      <c r="E27" s="1" t="s">
        <v>7</v>
      </c>
      <c r="F27" s="1" t="s">
        <v>14</v>
      </c>
      <c r="G27" s="1">
        <v>61</v>
      </c>
      <c r="H27" s="1">
        <v>65</v>
      </c>
      <c r="I27" s="1">
        <v>59</v>
      </c>
    </row>
    <row r="28" spans="1:9" x14ac:dyDescent="0.25">
      <c r="A28" s="2" t="s">
        <v>1</v>
      </c>
      <c r="B28" s="1" t="s">
        <v>9</v>
      </c>
      <c r="C28" s="76" t="s">
        <v>54</v>
      </c>
      <c r="D28" s="76">
        <f>COUNTIF($C$2:C28,C28)</f>
        <v>6</v>
      </c>
      <c r="E28" s="1" t="s">
        <v>7</v>
      </c>
      <c r="F28" s="1" t="s">
        <v>14</v>
      </c>
      <c r="G28" s="1">
        <v>72</v>
      </c>
      <c r="H28" s="1">
        <v>77</v>
      </c>
      <c r="I28" s="1">
        <v>77</v>
      </c>
    </row>
    <row r="29" spans="1:9" x14ac:dyDescent="0.25">
      <c r="A29" s="2" t="s">
        <v>1</v>
      </c>
      <c r="B29" s="1" t="s">
        <v>9</v>
      </c>
      <c r="C29" s="76" t="s">
        <v>54</v>
      </c>
      <c r="D29" s="76">
        <f>COUNTIF($C$2:C29,C29)</f>
        <v>7</v>
      </c>
      <c r="E29" s="1" t="s">
        <v>7</v>
      </c>
      <c r="F29" s="1" t="s">
        <v>15</v>
      </c>
      <c r="G29" s="1">
        <v>73</v>
      </c>
      <c r="H29" s="1">
        <v>68</v>
      </c>
      <c r="I29" s="1">
        <v>81</v>
      </c>
    </row>
    <row r="30" spans="1:9" x14ac:dyDescent="0.25">
      <c r="A30" s="2" t="s">
        <v>1</v>
      </c>
      <c r="B30" s="1" t="s">
        <v>9</v>
      </c>
      <c r="C30" s="76" t="s">
        <v>54</v>
      </c>
      <c r="D30" s="76">
        <f>COUNTIF($C$2:C30,C30)</f>
        <v>8</v>
      </c>
      <c r="E30" s="1" t="s">
        <v>73</v>
      </c>
      <c r="F30" s="1" t="s">
        <v>14</v>
      </c>
      <c r="G30" s="1">
        <v>58</v>
      </c>
      <c r="H30" s="1">
        <v>75</v>
      </c>
      <c r="I30" s="1">
        <v>78</v>
      </c>
    </row>
    <row r="31" spans="1:9" x14ac:dyDescent="0.25">
      <c r="A31" s="2" t="s">
        <v>1</v>
      </c>
      <c r="B31" s="1" t="s">
        <v>9</v>
      </c>
      <c r="C31" s="76" t="s">
        <v>54</v>
      </c>
      <c r="D31" s="76">
        <f>COUNTIF($C$2:C31,C31)</f>
        <v>9</v>
      </c>
      <c r="E31" s="1" t="s">
        <v>73</v>
      </c>
      <c r="F31" s="1" t="s">
        <v>14</v>
      </c>
      <c r="G31" s="1">
        <v>41</v>
      </c>
      <c r="H31" s="1">
        <v>49</v>
      </c>
      <c r="I31" s="1">
        <v>51</v>
      </c>
    </row>
    <row r="32" spans="1:9" x14ac:dyDescent="0.25">
      <c r="A32" s="2" t="s">
        <v>1</v>
      </c>
      <c r="B32" s="1" t="s">
        <v>9</v>
      </c>
      <c r="C32" s="77" t="s">
        <v>42</v>
      </c>
      <c r="D32" s="77">
        <f>COUNTIF($C$2:C32,C32)</f>
        <v>1</v>
      </c>
      <c r="E32" s="1" t="s">
        <v>7</v>
      </c>
      <c r="F32" s="1" t="s">
        <v>14</v>
      </c>
      <c r="G32" s="1">
        <v>51</v>
      </c>
      <c r="H32" s="1">
        <v>46</v>
      </c>
      <c r="I32" s="1">
        <v>42</v>
      </c>
    </row>
    <row r="33" spans="1:9" x14ac:dyDescent="0.25">
      <c r="A33" s="2" t="s">
        <v>1</v>
      </c>
      <c r="B33" s="1" t="s">
        <v>9</v>
      </c>
      <c r="C33" s="77" t="s">
        <v>42</v>
      </c>
      <c r="D33" s="77">
        <f>COUNTIF($C$2:C33,C33)</f>
        <v>2</v>
      </c>
      <c r="E33" s="1" t="s">
        <v>7</v>
      </c>
      <c r="F33" s="1" t="s">
        <v>14</v>
      </c>
      <c r="G33" s="1">
        <v>62</v>
      </c>
      <c r="H33" s="1">
        <v>64</v>
      </c>
      <c r="I33" s="1">
        <v>63</v>
      </c>
    </row>
    <row r="34" spans="1:9" x14ac:dyDescent="0.25">
      <c r="A34" s="2" t="s">
        <v>1</v>
      </c>
      <c r="B34" s="1" t="s">
        <v>9</v>
      </c>
      <c r="C34" s="77" t="s">
        <v>42</v>
      </c>
      <c r="D34" s="77">
        <f>COUNTIF($C$2:C34,C34)</f>
        <v>3</v>
      </c>
      <c r="E34" s="1" t="s">
        <v>7</v>
      </c>
      <c r="F34" s="1" t="s">
        <v>14</v>
      </c>
      <c r="G34" s="1">
        <v>83</v>
      </c>
      <c r="H34" s="1">
        <v>91</v>
      </c>
      <c r="I34" s="1">
        <v>92</v>
      </c>
    </row>
    <row r="35" spans="1:9" x14ac:dyDescent="0.25">
      <c r="A35" s="2" t="s">
        <v>1</v>
      </c>
      <c r="B35" s="1" t="s">
        <v>9</v>
      </c>
      <c r="C35" s="77" t="s">
        <v>42</v>
      </c>
      <c r="D35" s="77">
        <f>COUNTIF($C$2:C35,C35)</f>
        <v>4</v>
      </c>
      <c r="E35" s="1" t="s">
        <v>73</v>
      </c>
      <c r="F35" s="1" t="s">
        <v>14</v>
      </c>
      <c r="G35" s="1">
        <v>54</v>
      </c>
      <c r="H35" s="1">
        <v>56</v>
      </c>
      <c r="I35" s="1">
        <v>58</v>
      </c>
    </row>
    <row r="36" spans="1:9" x14ac:dyDescent="0.25">
      <c r="A36" s="2" t="s">
        <v>1</v>
      </c>
      <c r="B36" s="1" t="s">
        <v>9</v>
      </c>
      <c r="C36" s="77" t="s">
        <v>42</v>
      </c>
      <c r="D36" s="77">
        <f>COUNTIF($C$2:C36,C36)</f>
        <v>5</v>
      </c>
      <c r="E36" s="1" t="s">
        <v>73</v>
      </c>
      <c r="F36" s="1" t="s">
        <v>15</v>
      </c>
      <c r="G36" s="1">
        <v>75</v>
      </c>
      <c r="H36" s="1">
        <v>97</v>
      </c>
      <c r="I36" s="1">
        <v>92</v>
      </c>
    </row>
    <row r="37" spans="1:9" x14ac:dyDescent="0.25">
      <c r="A37" s="2" t="s">
        <v>1</v>
      </c>
      <c r="B37" s="1" t="s">
        <v>9</v>
      </c>
      <c r="C37" s="78" t="s">
        <v>52</v>
      </c>
      <c r="D37" s="78">
        <f>COUNTIF($C$2:C37,C37)</f>
        <v>1</v>
      </c>
      <c r="E37" s="1" t="s">
        <v>7</v>
      </c>
      <c r="F37" s="1" t="s">
        <v>15</v>
      </c>
      <c r="G37" s="1">
        <v>73</v>
      </c>
      <c r="H37" s="1">
        <v>79</v>
      </c>
      <c r="I37" s="1">
        <v>81</v>
      </c>
    </row>
    <row r="38" spans="1:9" x14ac:dyDescent="0.25">
      <c r="A38" s="2" t="s">
        <v>1</v>
      </c>
      <c r="B38" s="1" t="s">
        <v>9</v>
      </c>
      <c r="C38" s="78" t="s">
        <v>52</v>
      </c>
      <c r="D38" s="78">
        <f>COUNTIF($C$2:C38,C38)</f>
        <v>2</v>
      </c>
      <c r="E38" s="1" t="s">
        <v>7</v>
      </c>
      <c r="F38" s="1" t="s">
        <v>15</v>
      </c>
      <c r="G38" s="1">
        <v>66</v>
      </c>
      <c r="H38" s="1">
        <v>80</v>
      </c>
      <c r="I38" s="1">
        <v>75</v>
      </c>
    </row>
    <row r="39" spans="1:9" x14ac:dyDescent="0.25">
      <c r="A39" s="2" t="s">
        <v>1</v>
      </c>
      <c r="B39" s="1" t="s">
        <v>9</v>
      </c>
      <c r="C39" s="78" t="s">
        <v>52</v>
      </c>
      <c r="D39" s="78">
        <f>COUNTIF($C$2:C39,C39)</f>
        <v>3</v>
      </c>
      <c r="E39" s="1" t="s">
        <v>73</v>
      </c>
      <c r="F39" s="1" t="s">
        <v>14</v>
      </c>
      <c r="G39" s="1">
        <v>62</v>
      </c>
      <c r="H39" s="1">
        <v>75</v>
      </c>
      <c r="I39" s="1">
        <v>73</v>
      </c>
    </row>
    <row r="40" spans="1:9" x14ac:dyDescent="0.25">
      <c r="A40" s="2" t="s">
        <v>1</v>
      </c>
      <c r="B40" s="1" t="s">
        <v>9</v>
      </c>
      <c r="C40" s="78" t="s">
        <v>52</v>
      </c>
      <c r="D40" s="78">
        <f>COUNTIF($C$2:C40,C40)</f>
        <v>4</v>
      </c>
      <c r="E40" s="1" t="s">
        <v>73</v>
      </c>
      <c r="F40" s="1" t="s">
        <v>14</v>
      </c>
      <c r="G40" s="1">
        <v>65</v>
      </c>
      <c r="H40" s="1">
        <v>64</v>
      </c>
      <c r="I40" s="1">
        <v>73</v>
      </c>
    </row>
    <row r="41" spans="1:9" x14ac:dyDescent="0.25">
      <c r="A41" s="2" t="s">
        <v>1</v>
      </c>
      <c r="B41" s="1" t="s">
        <v>9</v>
      </c>
      <c r="C41" s="79" t="s">
        <v>59</v>
      </c>
      <c r="D41" s="79">
        <f>COUNTIF($C$2:C41,C41)</f>
        <v>1</v>
      </c>
      <c r="E41" s="1" t="s">
        <v>7</v>
      </c>
      <c r="F41" s="1" t="s">
        <v>14</v>
      </c>
      <c r="G41" s="1">
        <v>68</v>
      </c>
      <c r="H41" s="1">
        <v>70</v>
      </c>
      <c r="I41" s="1">
        <v>72</v>
      </c>
    </row>
    <row r="42" spans="1:9" x14ac:dyDescent="0.25">
      <c r="A42" s="2" t="s">
        <v>1</v>
      </c>
      <c r="B42" s="1" t="s">
        <v>9</v>
      </c>
      <c r="C42" s="79" t="s">
        <v>59</v>
      </c>
      <c r="D42" s="79">
        <f>COUNTIF($C$2:C42,C42)</f>
        <v>2</v>
      </c>
      <c r="E42" s="1" t="s">
        <v>7</v>
      </c>
      <c r="F42" s="1" t="s">
        <v>15</v>
      </c>
      <c r="G42" s="1">
        <v>68</v>
      </c>
      <c r="H42" s="1">
        <v>76</v>
      </c>
      <c r="I42" s="1">
        <v>76</v>
      </c>
    </row>
    <row r="43" spans="1:9" x14ac:dyDescent="0.25">
      <c r="A43" s="2" t="s">
        <v>1</v>
      </c>
      <c r="B43" s="1" t="s">
        <v>10</v>
      </c>
      <c r="C43" s="74" t="s">
        <v>53</v>
      </c>
      <c r="D43" s="74">
        <f>COUNTIF($C$2:C43,C43)</f>
        <v>9</v>
      </c>
      <c r="E43" s="1" t="s">
        <v>7</v>
      </c>
      <c r="F43" s="1" t="s">
        <v>14</v>
      </c>
      <c r="G43" s="1">
        <v>46</v>
      </c>
      <c r="H43" s="1">
        <v>61</v>
      </c>
      <c r="I43" s="1">
        <v>58</v>
      </c>
    </row>
    <row r="44" spans="1:9" x14ac:dyDescent="0.25">
      <c r="A44" s="2" t="s">
        <v>1</v>
      </c>
      <c r="B44" s="1" t="s">
        <v>10</v>
      </c>
      <c r="C44" s="74" t="s">
        <v>53</v>
      </c>
      <c r="D44" s="74">
        <f>COUNTIF($C$2:C44,C44)</f>
        <v>10</v>
      </c>
      <c r="E44" s="1" t="s">
        <v>7</v>
      </c>
      <c r="F44" s="1" t="s">
        <v>14</v>
      </c>
      <c r="G44" s="1">
        <v>62</v>
      </c>
      <c r="H44" s="1">
        <v>78</v>
      </c>
      <c r="I44" s="1">
        <v>74</v>
      </c>
    </row>
    <row r="45" spans="1:9" x14ac:dyDescent="0.25">
      <c r="A45" s="2" t="s">
        <v>1</v>
      </c>
      <c r="B45" s="1" t="s">
        <v>10</v>
      </c>
      <c r="C45" s="74" t="s">
        <v>53</v>
      </c>
      <c r="D45" s="74">
        <f>COUNTIF($C$2:C45,C45)</f>
        <v>11</v>
      </c>
      <c r="E45" s="1" t="s">
        <v>7</v>
      </c>
      <c r="F45" s="1" t="s">
        <v>14</v>
      </c>
      <c r="G45" s="1">
        <v>60</v>
      </c>
      <c r="H45" s="1">
        <v>73</v>
      </c>
      <c r="I45" s="1">
        <v>68</v>
      </c>
    </row>
    <row r="46" spans="1:9" x14ac:dyDescent="0.25">
      <c r="A46" s="2" t="s">
        <v>1</v>
      </c>
      <c r="B46" s="1" t="s">
        <v>10</v>
      </c>
      <c r="C46" s="74" t="s">
        <v>53</v>
      </c>
      <c r="D46" s="74">
        <f>COUNTIF($C$2:C46,C46)</f>
        <v>12</v>
      </c>
      <c r="E46" s="1" t="s">
        <v>7</v>
      </c>
      <c r="F46" s="1" t="s">
        <v>14</v>
      </c>
      <c r="G46" s="1">
        <v>44</v>
      </c>
      <c r="H46" s="1">
        <v>56</v>
      </c>
      <c r="I46" s="1">
        <v>47</v>
      </c>
    </row>
    <row r="47" spans="1:9" x14ac:dyDescent="0.25">
      <c r="A47" s="2" t="s">
        <v>1</v>
      </c>
      <c r="B47" s="1" t="s">
        <v>10</v>
      </c>
      <c r="C47" s="74" t="s">
        <v>53</v>
      </c>
      <c r="D47" s="74">
        <f>COUNTIF($C$2:C47,C47)</f>
        <v>13</v>
      </c>
      <c r="E47" s="1" t="s">
        <v>7</v>
      </c>
      <c r="F47" s="1" t="s">
        <v>14</v>
      </c>
      <c r="G47" s="1">
        <v>48</v>
      </c>
      <c r="H47" s="1">
        <v>59</v>
      </c>
      <c r="I47" s="1">
        <v>55</v>
      </c>
    </row>
    <row r="48" spans="1:9" x14ac:dyDescent="0.25">
      <c r="A48" s="2" t="s">
        <v>1</v>
      </c>
      <c r="B48" s="1" t="s">
        <v>10</v>
      </c>
      <c r="C48" s="74" t="s">
        <v>53</v>
      </c>
      <c r="D48" s="74">
        <f>COUNTIF($C$2:C48,C48)</f>
        <v>14</v>
      </c>
      <c r="E48" s="1" t="s">
        <v>7</v>
      </c>
      <c r="F48" s="1" t="s">
        <v>14</v>
      </c>
      <c r="G48" s="1">
        <v>37</v>
      </c>
      <c r="H48" s="1">
        <v>51</v>
      </c>
      <c r="I48" s="1">
        <v>43</v>
      </c>
    </row>
    <row r="49" spans="1:9" x14ac:dyDescent="0.25">
      <c r="A49" s="2" t="s">
        <v>1</v>
      </c>
      <c r="B49" s="1" t="s">
        <v>10</v>
      </c>
      <c r="C49" s="74" t="s">
        <v>53</v>
      </c>
      <c r="D49" s="74">
        <f>COUNTIF($C$2:C49,C49)</f>
        <v>15</v>
      </c>
      <c r="E49" s="1" t="s">
        <v>7</v>
      </c>
      <c r="F49" s="1" t="s">
        <v>14</v>
      </c>
      <c r="G49" s="1">
        <v>67</v>
      </c>
      <c r="H49" s="1">
        <v>73</v>
      </c>
      <c r="I49" s="1">
        <v>76</v>
      </c>
    </row>
    <row r="50" spans="1:9" x14ac:dyDescent="0.25">
      <c r="A50" s="2" t="s">
        <v>1</v>
      </c>
      <c r="B50" s="1" t="s">
        <v>10</v>
      </c>
      <c r="C50" s="74" t="s">
        <v>53</v>
      </c>
      <c r="D50" s="74">
        <f>COUNTIF($C$2:C50,C50)</f>
        <v>16</v>
      </c>
      <c r="E50" s="1" t="s">
        <v>7</v>
      </c>
      <c r="F50" s="1" t="s">
        <v>14</v>
      </c>
      <c r="G50" s="1">
        <v>83</v>
      </c>
      <c r="H50" s="1">
        <v>86</v>
      </c>
      <c r="I50" s="1">
        <v>89</v>
      </c>
    </row>
    <row r="51" spans="1:9" x14ac:dyDescent="0.25">
      <c r="A51" s="2" t="s">
        <v>1</v>
      </c>
      <c r="B51" s="1" t="s">
        <v>10</v>
      </c>
      <c r="C51" s="74" t="s">
        <v>53</v>
      </c>
      <c r="D51" s="74">
        <f>COUNTIF($C$2:C51,C51)</f>
        <v>17</v>
      </c>
      <c r="E51" s="1" t="s">
        <v>7</v>
      </c>
      <c r="F51" s="1" t="s">
        <v>14</v>
      </c>
      <c r="G51" s="1">
        <v>52</v>
      </c>
      <c r="H51" s="1">
        <v>65</v>
      </c>
      <c r="I51" s="1">
        <v>60</v>
      </c>
    </row>
    <row r="52" spans="1:9" x14ac:dyDescent="0.25">
      <c r="A52" s="2" t="s">
        <v>1</v>
      </c>
      <c r="B52" s="1" t="s">
        <v>10</v>
      </c>
      <c r="C52" s="74" t="s">
        <v>53</v>
      </c>
      <c r="D52" s="74">
        <f>COUNTIF($C$2:C52,C52)</f>
        <v>18</v>
      </c>
      <c r="E52" s="1" t="s">
        <v>7</v>
      </c>
      <c r="F52" s="1" t="s">
        <v>14</v>
      </c>
      <c r="G52" s="1">
        <v>44</v>
      </c>
      <c r="H52" s="1">
        <v>65</v>
      </c>
      <c r="I52" s="1">
        <v>59</v>
      </c>
    </row>
    <row r="53" spans="1:9" x14ac:dyDescent="0.25">
      <c r="A53" s="2" t="s">
        <v>1</v>
      </c>
      <c r="B53" s="1" t="s">
        <v>10</v>
      </c>
      <c r="C53" s="74" t="s">
        <v>53</v>
      </c>
      <c r="D53" s="74">
        <f>COUNTIF($C$2:C53,C53)</f>
        <v>19</v>
      </c>
      <c r="E53" s="1" t="s">
        <v>7</v>
      </c>
      <c r="F53" s="1" t="s">
        <v>15</v>
      </c>
      <c r="G53" s="1">
        <v>69</v>
      </c>
      <c r="H53" s="1">
        <v>76</v>
      </c>
      <c r="I53" s="1">
        <v>72</v>
      </c>
    </row>
    <row r="54" spans="1:9" x14ac:dyDescent="0.25">
      <c r="A54" s="2" t="s">
        <v>1</v>
      </c>
      <c r="B54" s="1" t="s">
        <v>10</v>
      </c>
      <c r="C54" s="74" t="s">
        <v>53</v>
      </c>
      <c r="D54" s="74">
        <f>COUNTIF($C$2:C54,C54)</f>
        <v>20</v>
      </c>
      <c r="E54" s="1" t="s">
        <v>73</v>
      </c>
      <c r="F54" s="1" t="s">
        <v>14</v>
      </c>
      <c r="G54" s="1">
        <v>65</v>
      </c>
      <c r="H54" s="1">
        <v>83</v>
      </c>
      <c r="I54" s="1">
        <v>77</v>
      </c>
    </row>
    <row r="55" spans="1:9" x14ac:dyDescent="0.25">
      <c r="A55" s="2" t="s">
        <v>1</v>
      </c>
      <c r="B55" s="1" t="s">
        <v>10</v>
      </c>
      <c r="C55" s="74" t="s">
        <v>53</v>
      </c>
      <c r="D55" s="74">
        <f>COUNTIF($C$2:C55,C55)</f>
        <v>21</v>
      </c>
      <c r="E55" s="1" t="s">
        <v>73</v>
      </c>
      <c r="F55" s="1" t="s">
        <v>14</v>
      </c>
      <c r="G55" s="1">
        <v>61</v>
      </c>
      <c r="H55" s="1">
        <v>80</v>
      </c>
      <c r="I55" s="1">
        <v>82</v>
      </c>
    </row>
    <row r="56" spans="1:9" x14ac:dyDescent="0.25">
      <c r="A56" s="2" t="s">
        <v>1</v>
      </c>
      <c r="B56" s="1" t="s">
        <v>10</v>
      </c>
      <c r="C56" s="74" t="s">
        <v>53</v>
      </c>
      <c r="D56" s="74">
        <f>COUNTIF($C$2:C56,C56)</f>
        <v>22</v>
      </c>
      <c r="E56" s="1" t="s">
        <v>73</v>
      </c>
      <c r="F56" s="1" t="s">
        <v>14</v>
      </c>
      <c r="G56" s="1">
        <v>36</v>
      </c>
      <c r="H56" s="1">
        <v>51</v>
      </c>
      <c r="I56" s="1">
        <v>49</v>
      </c>
    </row>
    <row r="57" spans="1:9" x14ac:dyDescent="0.25">
      <c r="A57" s="2" t="s">
        <v>1</v>
      </c>
      <c r="B57" s="1" t="s">
        <v>10</v>
      </c>
      <c r="C57" s="74" t="s">
        <v>53</v>
      </c>
      <c r="D57" s="74">
        <f>COUNTIF($C$2:C57,C57)</f>
        <v>23</v>
      </c>
      <c r="E57" s="1" t="s">
        <v>73</v>
      </c>
      <c r="F57" s="1" t="s">
        <v>14</v>
      </c>
      <c r="G57" s="1">
        <v>55</v>
      </c>
      <c r="H57" s="1">
        <v>70</v>
      </c>
      <c r="I57" s="1">
        <v>60</v>
      </c>
    </row>
    <row r="58" spans="1:9" x14ac:dyDescent="0.25">
      <c r="A58" s="2" t="s">
        <v>1</v>
      </c>
      <c r="B58" s="1" t="s">
        <v>10</v>
      </c>
      <c r="C58" s="74" t="s">
        <v>53</v>
      </c>
      <c r="D58" s="74">
        <f>COUNTIF($C$2:C58,C58)</f>
        <v>24</v>
      </c>
      <c r="E58" s="1" t="s">
        <v>73</v>
      </c>
      <c r="F58" s="1" t="s">
        <v>14</v>
      </c>
      <c r="G58" s="1">
        <v>36</v>
      </c>
      <c r="H58" s="1">
        <v>52</v>
      </c>
      <c r="I58" s="1">
        <v>51</v>
      </c>
    </row>
    <row r="59" spans="1:9" x14ac:dyDescent="0.25">
      <c r="A59" s="2" t="s">
        <v>1</v>
      </c>
      <c r="B59" s="1" t="s">
        <v>10</v>
      </c>
      <c r="C59" s="74" t="s">
        <v>53</v>
      </c>
      <c r="D59" s="74">
        <f>COUNTIF($C$2:C59,C59)</f>
        <v>25</v>
      </c>
      <c r="E59" s="1" t="s">
        <v>73</v>
      </c>
      <c r="F59" s="1" t="s">
        <v>15</v>
      </c>
      <c r="G59" s="1">
        <v>73</v>
      </c>
      <c r="H59" s="1">
        <v>91</v>
      </c>
      <c r="I59" s="1">
        <v>88</v>
      </c>
    </row>
    <row r="60" spans="1:9" x14ac:dyDescent="0.25">
      <c r="A60" s="2" t="s">
        <v>1</v>
      </c>
      <c r="B60" s="1" t="s">
        <v>10</v>
      </c>
      <c r="C60" s="74" t="s">
        <v>53</v>
      </c>
      <c r="D60" s="74">
        <f>COUNTIF($C$2:C60,C60)</f>
        <v>26</v>
      </c>
      <c r="E60" s="1" t="s">
        <v>73</v>
      </c>
      <c r="F60" s="1" t="s">
        <v>15</v>
      </c>
      <c r="G60" s="1">
        <v>46</v>
      </c>
      <c r="H60" s="1">
        <v>63</v>
      </c>
      <c r="I60" s="1">
        <v>66</v>
      </c>
    </row>
    <row r="61" spans="1:9" x14ac:dyDescent="0.25">
      <c r="A61" s="2" t="s">
        <v>1</v>
      </c>
      <c r="B61" s="1" t="s">
        <v>10</v>
      </c>
      <c r="C61" s="74" t="s">
        <v>53</v>
      </c>
      <c r="D61" s="74">
        <f>COUNTIF($C$2:C61,C61)</f>
        <v>27</v>
      </c>
      <c r="E61" s="1" t="s">
        <v>73</v>
      </c>
      <c r="F61" s="1" t="s">
        <v>15</v>
      </c>
      <c r="G61" s="1">
        <v>64</v>
      </c>
      <c r="H61" s="1">
        <v>72</v>
      </c>
      <c r="I61" s="1">
        <v>79</v>
      </c>
    </row>
    <row r="62" spans="1:9" x14ac:dyDescent="0.25">
      <c r="A62" s="2" t="s">
        <v>1</v>
      </c>
      <c r="B62" s="1" t="s">
        <v>10</v>
      </c>
      <c r="C62" s="74" t="s">
        <v>53</v>
      </c>
      <c r="D62" s="74">
        <f>COUNTIF($C$2:C62,C62)</f>
        <v>28</v>
      </c>
      <c r="E62" s="1" t="s">
        <v>73</v>
      </c>
      <c r="F62" s="1" t="s">
        <v>15</v>
      </c>
      <c r="G62" s="1">
        <v>37</v>
      </c>
      <c r="H62" s="1">
        <v>48</v>
      </c>
      <c r="I62" s="1">
        <v>46</v>
      </c>
    </row>
    <row r="63" spans="1:9" x14ac:dyDescent="0.25">
      <c r="A63" s="2" t="s">
        <v>1</v>
      </c>
      <c r="B63" s="1" t="s">
        <v>10</v>
      </c>
      <c r="C63" s="75" t="s">
        <v>6</v>
      </c>
      <c r="D63" s="75">
        <f>COUNTIF($C$2:C63,C63)</f>
        <v>14</v>
      </c>
      <c r="E63" s="1" t="s">
        <v>7</v>
      </c>
      <c r="F63" s="1" t="s">
        <v>14</v>
      </c>
      <c r="G63" s="1">
        <v>52</v>
      </c>
      <c r="H63" s="1">
        <v>56</v>
      </c>
      <c r="I63" s="1">
        <v>54</v>
      </c>
    </row>
    <row r="64" spans="1:9" x14ac:dyDescent="0.25">
      <c r="A64" s="2" t="s">
        <v>1</v>
      </c>
      <c r="B64" s="1" t="s">
        <v>10</v>
      </c>
      <c r="C64" s="75" t="s">
        <v>6</v>
      </c>
      <c r="D64" s="75">
        <f>COUNTIF($C$2:C64,C64)</f>
        <v>15</v>
      </c>
      <c r="E64" s="1" t="s">
        <v>7</v>
      </c>
      <c r="F64" s="1" t="s">
        <v>14</v>
      </c>
      <c r="G64" s="1">
        <v>55</v>
      </c>
      <c r="H64" s="1">
        <v>60</v>
      </c>
      <c r="I64" s="1">
        <v>67</v>
      </c>
    </row>
    <row r="65" spans="1:9" x14ac:dyDescent="0.25">
      <c r="A65" s="2" t="s">
        <v>1</v>
      </c>
      <c r="B65" s="1" t="s">
        <v>10</v>
      </c>
      <c r="C65" s="75" t="s">
        <v>6</v>
      </c>
      <c r="D65" s="75">
        <f>COUNTIF($C$2:C65,C65)</f>
        <v>16</v>
      </c>
      <c r="E65" s="1" t="s">
        <v>7</v>
      </c>
      <c r="F65" s="1" t="s">
        <v>14</v>
      </c>
      <c r="G65" s="1">
        <v>59</v>
      </c>
      <c r="H65" s="1">
        <v>72</v>
      </c>
      <c r="I65" s="1">
        <v>67</v>
      </c>
    </row>
    <row r="66" spans="1:9" x14ac:dyDescent="0.25">
      <c r="A66" s="2" t="s">
        <v>1</v>
      </c>
      <c r="B66" s="1" t="s">
        <v>10</v>
      </c>
      <c r="C66" s="75" t="s">
        <v>6</v>
      </c>
      <c r="D66" s="75">
        <f>COUNTIF($C$2:C66,C66)</f>
        <v>17</v>
      </c>
      <c r="E66" s="1" t="s">
        <v>7</v>
      </c>
      <c r="F66" s="1" t="s">
        <v>14</v>
      </c>
      <c r="G66" s="1">
        <v>63</v>
      </c>
      <c r="H66" s="1">
        <v>76</v>
      </c>
      <c r="I66" s="1">
        <v>67</v>
      </c>
    </row>
    <row r="67" spans="1:9" x14ac:dyDescent="0.25">
      <c r="A67" s="2" t="s">
        <v>1</v>
      </c>
      <c r="B67" s="1" t="s">
        <v>10</v>
      </c>
      <c r="C67" s="75" t="s">
        <v>6</v>
      </c>
      <c r="D67" s="75">
        <f>COUNTIF($C$2:C67,C67)</f>
        <v>18</v>
      </c>
      <c r="E67" s="1" t="s">
        <v>7</v>
      </c>
      <c r="F67" s="1" t="s">
        <v>14</v>
      </c>
      <c r="G67" s="1">
        <v>54</v>
      </c>
      <c r="H67" s="1">
        <v>56</v>
      </c>
      <c r="I67" s="1">
        <v>59</v>
      </c>
    </row>
    <row r="68" spans="1:9" x14ac:dyDescent="0.25">
      <c r="A68" s="2" t="s">
        <v>1</v>
      </c>
      <c r="B68" s="1" t="s">
        <v>10</v>
      </c>
      <c r="C68" s="75" t="s">
        <v>6</v>
      </c>
      <c r="D68" s="75">
        <f>COUNTIF($C$2:C68,C68)</f>
        <v>19</v>
      </c>
      <c r="E68" s="1" t="s">
        <v>7</v>
      </c>
      <c r="F68" s="1" t="s">
        <v>14</v>
      </c>
      <c r="G68" s="1">
        <v>65</v>
      </c>
      <c r="H68" s="1">
        <v>68</v>
      </c>
      <c r="I68" s="1">
        <v>67</v>
      </c>
    </row>
    <row r="69" spans="1:9" x14ac:dyDescent="0.25">
      <c r="A69" s="2" t="s">
        <v>1</v>
      </c>
      <c r="B69" s="1" t="s">
        <v>10</v>
      </c>
      <c r="C69" s="75" t="s">
        <v>6</v>
      </c>
      <c r="D69" s="75">
        <f>COUNTIF($C$2:C69,C69)</f>
        <v>20</v>
      </c>
      <c r="E69" s="1" t="s">
        <v>7</v>
      </c>
      <c r="F69" s="1" t="s">
        <v>14</v>
      </c>
      <c r="G69" s="1">
        <v>45</v>
      </c>
      <c r="H69" s="1">
        <v>52</v>
      </c>
      <c r="I69" s="1">
        <v>51</v>
      </c>
    </row>
    <row r="70" spans="1:9" x14ac:dyDescent="0.25">
      <c r="A70" s="2" t="s">
        <v>1</v>
      </c>
      <c r="B70" s="1" t="s">
        <v>10</v>
      </c>
      <c r="C70" s="75" t="s">
        <v>6</v>
      </c>
      <c r="D70" s="75">
        <f>COUNTIF($C$2:C70,C70)</f>
        <v>21</v>
      </c>
      <c r="E70" s="1" t="s">
        <v>7</v>
      </c>
      <c r="F70" s="1" t="s">
        <v>14</v>
      </c>
      <c r="G70" s="1">
        <v>74</v>
      </c>
      <c r="H70" s="1">
        <v>90</v>
      </c>
      <c r="I70" s="1">
        <v>83</v>
      </c>
    </row>
    <row r="71" spans="1:9" x14ac:dyDescent="0.25">
      <c r="A71" s="2" t="s">
        <v>1</v>
      </c>
      <c r="B71" s="1" t="s">
        <v>10</v>
      </c>
      <c r="C71" s="75" t="s">
        <v>6</v>
      </c>
      <c r="D71" s="75">
        <f>COUNTIF($C$2:C71,C71)</f>
        <v>22</v>
      </c>
      <c r="E71" s="1" t="s">
        <v>7</v>
      </c>
      <c r="F71" s="1" t="s">
        <v>15</v>
      </c>
      <c r="G71" s="1">
        <v>66</v>
      </c>
      <c r="H71" s="1">
        <v>62</v>
      </c>
      <c r="I71" s="1">
        <v>66</v>
      </c>
    </row>
    <row r="72" spans="1:9" x14ac:dyDescent="0.25">
      <c r="A72" s="2" t="s">
        <v>1</v>
      </c>
      <c r="B72" s="1" t="s">
        <v>10</v>
      </c>
      <c r="C72" s="75" t="s">
        <v>6</v>
      </c>
      <c r="D72" s="75">
        <f>COUNTIF($C$2:C72,C72)</f>
        <v>23</v>
      </c>
      <c r="E72" s="1" t="s">
        <v>7</v>
      </c>
      <c r="F72" s="1" t="s">
        <v>15</v>
      </c>
      <c r="G72" s="1">
        <v>81</v>
      </c>
      <c r="H72" s="1">
        <v>89</v>
      </c>
      <c r="I72" s="1">
        <v>88</v>
      </c>
    </row>
    <row r="73" spans="1:9" x14ac:dyDescent="0.25">
      <c r="A73" s="2" t="s">
        <v>1</v>
      </c>
      <c r="B73" s="1" t="s">
        <v>10</v>
      </c>
      <c r="C73" s="75" t="s">
        <v>6</v>
      </c>
      <c r="D73" s="75">
        <f>COUNTIF($C$2:C73,C73)</f>
        <v>24</v>
      </c>
      <c r="E73" s="1" t="s">
        <v>7</v>
      </c>
      <c r="F73" s="1" t="s">
        <v>15</v>
      </c>
      <c r="G73" s="1">
        <v>72</v>
      </c>
      <c r="H73" s="1">
        <v>73</v>
      </c>
      <c r="I73" s="1">
        <v>72</v>
      </c>
    </row>
    <row r="74" spans="1:9" x14ac:dyDescent="0.25">
      <c r="A74" s="2" t="s">
        <v>1</v>
      </c>
      <c r="B74" s="1" t="s">
        <v>10</v>
      </c>
      <c r="C74" s="75" t="s">
        <v>6</v>
      </c>
      <c r="D74" s="75">
        <f>COUNTIF($C$2:C74,C74)</f>
        <v>25</v>
      </c>
      <c r="E74" s="1" t="s">
        <v>7</v>
      </c>
      <c r="F74" s="1" t="s">
        <v>15</v>
      </c>
      <c r="G74" s="1">
        <v>77</v>
      </c>
      <c r="H74" s="1">
        <v>83</v>
      </c>
      <c r="I74" s="1">
        <v>91</v>
      </c>
    </row>
    <row r="75" spans="1:9" x14ac:dyDescent="0.25">
      <c r="A75" s="2" t="s">
        <v>1</v>
      </c>
      <c r="B75" s="1" t="s">
        <v>10</v>
      </c>
      <c r="C75" s="75" t="s">
        <v>6</v>
      </c>
      <c r="D75" s="75">
        <f>COUNTIF($C$2:C75,C75)</f>
        <v>26</v>
      </c>
      <c r="E75" s="1" t="s">
        <v>73</v>
      </c>
      <c r="F75" s="1" t="s">
        <v>14</v>
      </c>
      <c r="G75" s="1">
        <v>61</v>
      </c>
      <c r="H75" s="1">
        <v>74</v>
      </c>
      <c r="I75" s="1">
        <v>71</v>
      </c>
    </row>
    <row r="76" spans="1:9" x14ac:dyDescent="0.25">
      <c r="A76" s="2" t="s">
        <v>1</v>
      </c>
      <c r="B76" s="1" t="s">
        <v>10</v>
      </c>
      <c r="C76" s="75" t="s">
        <v>6</v>
      </c>
      <c r="D76" s="75">
        <f>COUNTIF($C$2:C76,C76)</f>
        <v>27</v>
      </c>
      <c r="E76" s="1" t="s">
        <v>73</v>
      </c>
      <c r="F76" s="1" t="s">
        <v>14</v>
      </c>
      <c r="G76" s="1">
        <v>38</v>
      </c>
      <c r="H76" s="1">
        <v>55</v>
      </c>
      <c r="I76" s="1">
        <v>52</v>
      </c>
    </row>
    <row r="77" spans="1:9" x14ac:dyDescent="0.25">
      <c r="A77" s="2" t="s">
        <v>1</v>
      </c>
      <c r="B77" s="1" t="s">
        <v>10</v>
      </c>
      <c r="C77" s="75" t="s">
        <v>6</v>
      </c>
      <c r="D77" s="75">
        <f>COUNTIF($C$2:C77,C77)</f>
        <v>28</v>
      </c>
      <c r="E77" s="1" t="s">
        <v>73</v>
      </c>
      <c r="F77" s="1" t="s">
        <v>14</v>
      </c>
      <c r="G77" s="1">
        <v>67</v>
      </c>
      <c r="H77" s="1">
        <v>77</v>
      </c>
      <c r="I77" s="1">
        <v>81</v>
      </c>
    </row>
    <row r="78" spans="1:9" x14ac:dyDescent="0.25">
      <c r="A78" s="2" t="s">
        <v>1</v>
      </c>
      <c r="B78" s="1" t="s">
        <v>10</v>
      </c>
      <c r="C78" s="75" t="s">
        <v>6</v>
      </c>
      <c r="D78" s="75">
        <f>COUNTIF($C$2:C78,C78)</f>
        <v>29</v>
      </c>
      <c r="E78" s="1" t="s">
        <v>73</v>
      </c>
      <c r="F78" s="1" t="s">
        <v>14</v>
      </c>
      <c r="G78" s="1">
        <v>46</v>
      </c>
      <c r="H78" s="1">
        <v>57</v>
      </c>
      <c r="I78" s="1">
        <v>53</v>
      </c>
    </row>
    <row r="79" spans="1:9" x14ac:dyDescent="0.25">
      <c r="A79" s="2" t="s">
        <v>1</v>
      </c>
      <c r="B79" s="1" t="s">
        <v>10</v>
      </c>
      <c r="C79" s="75" t="s">
        <v>6</v>
      </c>
      <c r="D79" s="75">
        <f>COUNTIF($C$2:C79,C79)</f>
        <v>30</v>
      </c>
      <c r="E79" s="1" t="s">
        <v>73</v>
      </c>
      <c r="F79" s="1" t="s">
        <v>14</v>
      </c>
      <c r="G79" s="1">
        <v>55</v>
      </c>
      <c r="H79" s="1">
        <v>68</v>
      </c>
      <c r="I79" s="1">
        <v>66</v>
      </c>
    </row>
    <row r="80" spans="1:9" x14ac:dyDescent="0.25">
      <c r="A80" s="2" t="s">
        <v>1</v>
      </c>
      <c r="B80" s="1" t="s">
        <v>10</v>
      </c>
      <c r="C80" s="75" t="s">
        <v>6</v>
      </c>
      <c r="D80" s="75">
        <f>COUNTIF($C$2:C80,C80)</f>
        <v>31</v>
      </c>
      <c r="E80" s="1" t="s">
        <v>73</v>
      </c>
      <c r="F80" s="1" t="s">
        <v>14</v>
      </c>
      <c r="G80" s="1">
        <v>58</v>
      </c>
      <c r="H80" s="1">
        <v>62</v>
      </c>
      <c r="I80" s="1">
        <v>54</v>
      </c>
    </row>
    <row r="81" spans="1:9" x14ac:dyDescent="0.25">
      <c r="A81" s="2" t="s">
        <v>1</v>
      </c>
      <c r="B81" s="1" t="s">
        <v>10</v>
      </c>
      <c r="C81" s="75" t="s">
        <v>6</v>
      </c>
      <c r="D81" s="75">
        <f>COUNTIF($C$2:C81,C81)</f>
        <v>32</v>
      </c>
      <c r="E81" s="1" t="s">
        <v>73</v>
      </c>
      <c r="F81" s="1" t="s">
        <v>14</v>
      </c>
      <c r="G81" s="1">
        <v>49</v>
      </c>
      <c r="H81" s="1">
        <v>65</v>
      </c>
      <c r="I81" s="1">
        <v>62</v>
      </c>
    </row>
    <row r="82" spans="1:9" x14ac:dyDescent="0.25">
      <c r="A82" s="2" t="s">
        <v>1</v>
      </c>
      <c r="B82" s="1" t="s">
        <v>10</v>
      </c>
      <c r="C82" s="75" t="s">
        <v>6</v>
      </c>
      <c r="D82" s="75">
        <f>COUNTIF($C$2:C82,C82)</f>
        <v>33</v>
      </c>
      <c r="E82" s="1" t="s">
        <v>73</v>
      </c>
      <c r="F82" s="1" t="s">
        <v>14</v>
      </c>
      <c r="G82" s="1">
        <v>39</v>
      </c>
      <c r="H82" s="1">
        <v>60</v>
      </c>
      <c r="I82" s="1">
        <v>52</v>
      </c>
    </row>
    <row r="83" spans="1:9" x14ac:dyDescent="0.25">
      <c r="A83" s="2" t="s">
        <v>1</v>
      </c>
      <c r="B83" s="1" t="s">
        <v>10</v>
      </c>
      <c r="C83" s="75" t="s">
        <v>6</v>
      </c>
      <c r="D83" s="75">
        <f>COUNTIF($C$2:C83,C83)</f>
        <v>34</v>
      </c>
      <c r="E83" s="1" t="s">
        <v>73</v>
      </c>
      <c r="F83" s="1" t="s">
        <v>14</v>
      </c>
      <c r="G83" s="1">
        <v>59</v>
      </c>
      <c r="H83" s="1">
        <v>74</v>
      </c>
      <c r="I83" s="1">
        <v>68</v>
      </c>
    </row>
    <row r="84" spans="1:9" x14ac:dyDescent="0.25">
      <c r="A84" s="2" t="s">
        <v>1</v>
      </c>
      <c r="B84" s="1" t="s">
        <v>10</v>
      </c>
      <c r="C84" s="75" t="s">
        <v>6</v>
      </c>
      <c r="D84" s="75">
        <f>COUNTIF($C$2:C84,C84)</f>
        <v>35</v>
      </c>
      <c r="E84" s="1" t="s">
        <v>73</v>
      </c>
      <c r="F84" s="1" t="s">
        <v>14</v>
      </c>
      <c r="G84" s="1">
        <v>30</v>
      </c>
      <c r="H84" s="1">
        <v>47</v>
      </c>
      <c r="I84" s="1">
        <v>46</v>
      </c>
    </row>
    <row r="85" spans="1:9" x14ac:dyDescent="0.25">
      <c r="A85" s="2" t="s">
        <v>1</v>
      </c>
      <c r="B85" s="1" t="s">
        <v>10</v>
      </c>
      <c r="C85" s="75" t="s">
        <v>6</v>
      </c>
      <c r="D85" s="75">
        <f>COUNTIF($C$2:C85,C85)</f>
        <v>36</v>
      </c>
      <c r="E85" s="1" t="s">
        <v>73</v>
      </c>
      <c r="F85" s="1" t="s">
        <v>14</v>
      </c>
      <c r="G85" s="1">
        <v>51</v>
      </c>
      <c r="H85" s="1">
        <v>69</v>
      </c>
      <c r="I85" s="1">
        <v>64</v>
      </c>
    </row>
    <row r="86" spans="1:9" x14ac:dyDescent="0.25">
      <c r="A86" s="2" t="s">
        <v>1</v>
      </c>
      <c r="B86" s="1" t="s">
        <v>10</v>
      </c>
      <c r="C86" s="75" t="s">
        <v>6</v>
      </c>
      <c r="D86" s="75">
        <f>COUNTIF($C$2:C86,C86)</f>
        <v>37</v>
      </c>
      <c r="E86" s="1" t="s">
        <v>73</v>
      </c>
      <c r="F86" s="1" t="s">
        <v>15</v>
      </c>
      <c r="G86" s="1">
        <v>69</v>
      </c>
      <c r="H86" s="1">
        <v>78</v>
      </c>
      <c r="I86" s="1">
        <v>75</v>
      </c>
    </row>
    <row r="87" spans="1:9" x14ac:dyDescent="0.25">
      <c r="A87" s="2" t="s">
        <v>1</v>
      </c>
      <c r="B87" s="1" t="s">
        <v>10</v>
      </c>
      <c r="C87" s="75" t="s">
        <v>6</v>
      </c>
      <c r="D87" s="75">
        <f>COUNTIF($C$2:C87,C87)</f>
        <v>38</v>
      </c>
      <c r="E87" s="1" t="s">
        <v>73</v>
      </c>
      <c r="F87" s="1" t="s">
        <v>15</v>
      </c>
      <c r="G87" s="1">
        <v>75</v>
      </c>
      <c r="H87" s="1">
        <v>90</v>
      </c>
      <c r="I87" s="1">
        <v>95</v>
      </c>
    </row>
    <row r="88" spans="1:9" x14ac:dyDescent="0.25">
      <c r="A88" s="2" t="s">
        <v>1</v>
      </c>
      <c r="B88" s="1" t="s">
        <v>10</v>
      </c>
      <c r="C88" s="75" t="s">
        <v>6</v>
      </c>
      <c r="D88" s="75">
        <f>COUNTIF($C$2:C88,C88)</f>
        <v>39</v>
      </c>
      <c r="E88" s="1" t="s">
        <v>73</v>
      </c>
      <c r="F88" s="1" t="s">
        <v>15</v>
      </c>
      <c r="G88" s="1">
        <v>45</v>
      </c>
      <c r="H88" s="1">
        <v>61</v>
      </c>
      <c r="I88" s="1">
        <v>63</v>
      </c>
    </row>
    <row r="89" spans="1:9" x14ac:dyDescent="0.25">
      <c r="A89" s="2" t="s">
        <v>1</v>
      </c>
      <c r="B89" s="1" t="s">
        <v>10</v>
      </c>
      <c r="C89" s="75" t="s">
        <v>6</v>
      </c>
      <c r="D89" s="75">
        <f>COUNTIF($C$2:C89,C89)</f>
        <v>40</v>
      </c>
      <c r="E89" s="1" t="s">
        <v>73</v>
      </c>
      <c r="F89" s="1" t="s">
        <v>15</v>
      </c>
      <c r="G89" s="1">
        <v>60</v>
      </c>
      <c r="H89" s="1">
        <v>66</v>
      </c>
      <c r="I89" s="1">
        <v>64</v>
      </c>
    </row>
    <row r="90" spans="1:9" x14ac:dyDescent="0.25">
      <c r="A90" s="2" t="s">
        <v>1</v>
      </c>
      <c r="B90" s="1" t="s">
        <v>10</v>
      </c>
      <c r="C90" s="75" t="s">
        <v>6</v>
      </c>
      <c r="D90" s="75">
        <f>COUNTIF($C$2:C90,C90)</f>
        <v>41</v>
      </c>
      <c r="E90" s="1" t="s">
        <v>73</v>
      </c>
      <c r="F90" s="1" t="s">
        <v>15</v>
      </c>
      <c r="G90" s="1">
        <v>49</v>
      </c>
      <c r="H90" s="1">
        <v>66</v>
      </c>
      <c r="I90" s="1">
        <v>60</v>
      </c>
    </row>
    <row r="91" spans="1:9" x14ac:dyDescent="0.25">
      <c r="A91" s="2" t="s">
        <v>1</v>
      </c>
      <c r="B91" s="1" t="s">
        <v>10</v>
      </c>
      <c r="C91" s="76" t="s">
        <v>54</v>
      </c>
      <c r="D91" s="76">
        <f>COUNTIF($C$2:C91,C91)</f>
        <v>10</v>
      </c>
      <c r="E91" s="1" t="s">
        <v>7</v>
      </c>
      <c r="F91" s="1" t="s">
        <v>14</v>
      </c>
      <c r="G91" s="1">
        <v>73</v>
      </c>
      <c r="H91" s="1">
        <v>80</v>
      </c>
      <c r="I91" s="1">
        <v>78</v>
      </c>
    </row>
    <row r="92" spans="1:9" x14ac:dyDescent="0.25">
      <c r="A92" s="2" t="s">
        <v>1</v>
      </c>
      <c r="B92" s="1" t="s">
        <v>10</v>
      </c>
      <c r="C92" s="76" t="s">
        <v>54</v>
      </c>
      <c r="D92" s="76">
        <f>COUNTIF($C$2:C92,C92)</f>
        <v>11</v>
      </c>
      <c r="E92" s="1" t="s">
        <v>7</v>
      </c>
      <c r="F92" s="1" t="s">
        <v>14</v>
      </c>
      <c r="G92" s="1">
        <v>81</v>
      </c>
      <c r="H92" s="1">
        <v>89</v>
      </c>
      <c r="I92" s="1">
        <v>86</v>
      </c>
    </row>
    <row r="93" spans="1:9" x14ac:dyDescent="0.25">
      <c r="A93" s="2" t="s">
        <v>1</v>
      </c>
      <c r="B93" s="1" t="s">
        <v>10</v>
      </c>
      <c r="C93" s="76" t="s">
        <v>54</v>
      </c>
      <c r="D93" s="76">
        <f>COUNTIF($C$2:C93,C93)</f>
        <v>12</v>
      </c>
      <c r="E93" s="1" t="s">
        <v>7</v>
      </c>
      <c r="F93" s="1" t="s">
        <v>14</v>
      </c>
      <c r="G93" s="1">
        <v>62</v>
      </c>
      <c r="H93" s="1">
        <v>81</v>
      </c>
      <c r="I93" s="1">
        <v>77</v>
      </c>
    </row>
    <row r="94" spans="1:9" x14ac:dyDescent="0.25">
      <c r="A94" s="2" t="s">
        <v>1</v>
      </c>
      <c r="B94" s="1" t="s">
        <v>10</v>
      </c>
      <c r="C94" s="76" t="s">
        <v>54</v>
      </c>
      <c r="D94" s="76">
        <f>COUNTIF($C$2:C94,C94)</f>
        <v>13</v>
      </c>
      <c r="E94" s="1" t="s">
        <v>7</v>
      </c>
      <c r="F94" s="1" t="s">
        <v>14</v>
      </c>
      <c r="G94" s="1">
        <v>75</v>
      </c>
      <c r="H94" s="1">
        <v>95</v>
      </c>
      <c r="I94" s="1">
        <v>94</v>
      </c>
    </row>
    <row r="95" spans="1:9" x14ac:dyDescent="0.25">
      <c r="A95" s="2" t="s">
        <v>1</v>
      </c>
      <c r="B95" s="1" t="s">
        <v>10</v>
      </c>
      <c r="C95" s="76" t="s">
        <v>54</v>
      </c>
      <c r="D95" s="76">
        <f>COUNTIF($C$2:C95,C95)</f>
        <v>14</v>
      </c>
      <c r="E95" s="1" t="s">
        <v>7</v>
      </c>
      <c r="F95" s="1" t="s">
        <v>14</v>
      </c>
      <c r="G95" s="1">
        <v>71</v>
      </c>
      <c r="H95" s="1">
        <v>87</v>
      </c>
      <c r="I95" s="1">
        <v>87</v>
      </c>
    </row>
    <row r="96" spans="1:9" x14ac:dyDescent="0.25">
      <c r="A96" s="2" t="s">
        <v>1</v>
      </c>
      <c r="B96" s="1" t="s">
        <v>10</v>
      </c>
      <c r="C96" s="76" t="s">
        <v>54</v>
      </c>
      <c r="D96" s="76">
        <f>COUNTIF($C$2:C96,C96)</f>
        <v>15</v>
      </c>
      <c r="E96" s="1" t="s">
        <v>7</v>
      </c>
      <c r="F96" s="1" t="s">
        <v>14</v>
      </c>
      <c r="G96" s="1">
        <v>75</v>
      </c>
      <c r="H96" s="1">
        <v>91</v>
      </c>
      <c r="I96" s="1">
        <v>81</v>
      </c>
    </row>
    <row r="97" spans="1:9" x14ac:dyDescent="0.25">
      <c r="A97" s="2" t="s">
        <v>1</v>
      </c>
      <c r="B97" s="1" t="s">
        <v>10</v>
      </c>
      <c r="C97" s="76" t="s">
        <v>54</v>
      </c>
      <c r="D97" s="76">
        <f>COUNTIF($C$2:C97,C97)</f>
        <v>16</v>
      </c>
      <c r="E97" s="1" t="s">
        <v>7</v>
      </c>
      <c r="F97" s="1" t="s">
        <v>14</v>
      </c>
      <c r="G97" s="1">
        <v>90</v>
      </c>
      <c r="H97" s="1">
        <v>94</v>
      </c>
      <c r="I97" s="1">
        <v>93</v>
      </c>
    </row>
    <row r="98" spans="1:9" x14ac:dyDescent="0.25">
      <c r="A98" s="2" t="s">
        <v>1</v>
      </c>
      <c r="B98" s="1" t="s">
        <v>10</v>
      </c>
      <c r="C98" s="76" t="s">
        <v>54</v>
      </c>
      <c r="D98" s="76">
        <f>COUNTIF($C$2:C98,C98)</f>
        <v>17</v>
      </c>
      <c r="E98" s="1" t="s">
        <v>7</v>
      </c>
      <c r="F98" s="1" t="s">
        <v>14</v>
      </c>
      <c r="G98" s="1">
        <v>68</v>
      </c>
      <c r="H98" s="1">
        <v>70</v>
      </c>
      <c r="I98" s="1">
        <v>76</v>
      </c>
    </row>
    <row r="99" spans="1:9" x14ac:dyDescent="0.25">
      <c r="A99" s="2" t="s">
        <v>1</v>
      </c>
      <c r="B99" s="1" t="s">
        <v>10</v>
      </c>
      <c r="C99" s="76" t="s">
        <v>54</v>
      </c>
      <c r="D99" s="76">
        <f>COUNTIF($C$2:C99,C99)</f>
        <v>18</v>
      </c>
      <c r="E99" s="1" t="s">
        <v>7</v>
      </c>
      <c r="F99" s="1" t="s">
        <v>14</v>
      </c>
      <c r="G99" s="1">
        <v>84</v>
      </c>
      <c r="H99" s="1">
        <v>90</v>
      </c>
      <c r="I99" s="1">
        <v>89</v>
      </c>
    </row>
    <row r="100" spans="1:9" x14ac:dyDescent="0.25">
      <c r="A100" s="2" t="s">
        <v>1</v>
      </c>
      <c r="B100" s="1" t="s">
        <v>10</v>
      </c>
      <c r="C100" s="76" t="s">
        <v>54</v>
      </c>
      <c r="D100" s="76">
        <f>COUNTIF($C$2:C100,C100)</f>
        <v>19</v>
      </c>
      <c r="E100" s="1" t="s">
        <v>7</v>
      </c>
      <c r="F100" s="1" t="s">
        <v>14</v>
      </c>
      <c r="G100" s="1">
        <v>82</v>
      </c>
      <c r="H100" s="1">
        <v>97</v>
      </c>
      <c r="I100" s="1">
        <v>90</v>
      </c>
    </row>
    <row r="101" spans="1:9" x14ac:dyDescent="0.25">
      <c r="A101" s="2" t="s">
        <v>1</v>
      </c>
      <c r="B101" s="1" t="s">
        <v>10</v>
      </c>
      <c r="C101" s="76" t="s">
        <v>54</v>
      </c>
      <c r="D101" s="76">
        <f>COUNTIF($C$2:C101,C101)</f>
        <v>20</v>
      </c>
      <c r="E101" s="1" t="s">
        <v>7</v>
      </c>
      <c r="F101" s="1" t="s">
        <v>15</v>
      </c>
      <c r="G101" s="1">
        <v>80</v>
      </c>
      <c r="H101" s="1">
        <v>81</v>
      </c>
      <c r="I101" s="1">
        <v>85</v>
      </c>
    </row>
    <row r="102" spans="1:9" x14ac:dyDescent="0.25">
      <c r="A102" s="2" t="s">
        <v>1</v>
      </c>
      <c r="B102" s="1" t="s">
        <v>10</v>
      </c>
      <c r="C102" s="76" t="s">
        <v>54</v>
      </c>
      <c r="D102" s="76">
        <f>COUNTIF($C$2:C102,C102)</f>
        <v>21</v>
      </c>
      <c r="E102" s="1" t="s">
        <v>7</v>
      </c>
      <c r="F102" s="1" t="s">
        <v>15</v>
      </c>
      <c r="G102" s="1">
        <v>63</v>
      </c>
      <c r="H102" s="1">
        <v>72</v>
      </c>
      <c r="I102" s="1">
        <v>78</v>
      </c>
    </row>
    <row r="103" spans="1:9" x14ac:dyDescent="0.25">
      <c r="A103" s="2" t="s">
        <v>1</v>
      </c>
      <c r="B103" s="1" t="s">
        <v>10</v>
      </c>
      <c r="C103" s="76" t="s">
        <v>54</v>
      </c>
      <c r="D103" s="76">
        <f>COUNTIF($C$2:C103,C103)</f>
        <v>22</v>
      </c>
      <c r="E103" s="1" t="s">
        <v>7</v>
      </c>
      <c r="F103" s="1" t="s">
        <v>15</v>
      </c>
      <c r="G103" s="1">
        <v>91</v>
      </c>
      <c r="H103" s="1">
        <v>99</v>
      </c>
      <c r="I103" s="1">
        <v>100</v>
      </c>
    </row>
    <row r="104" spans="1:9" x14ac:dyDescent="0.25">
      <c r="A104" s="2" t="s">
        <v>1</v>
      </c>
      <c r="B104" s="1" t="s">
        <v>10</v>
      </c>
      <c r="C104" s="76" t="s">
        <v>54</v>
      </c>
      <c r="D104" s="76">
        <f>COUNTIF($C$2:C104,C104)</f>
        <v>23</v>
      </c>
      <c r="E104" s="1" t="s">
        <v>7</v>
      </c>
      <c r="F104" s="1" t="s">
        <v>15</v>
      </c>
      <c r="G104" s="1">
        <v>65</v>
      </c>
      <c r="H104" s="1">
        <v>78</v>
      </c>
      <c r="I104" s="1">
        <v>81</v>
      </c>
    </row>
    <row r="105" spans="1:9" x14ac:dyDescent="0.25">
      <c r="A105" s="2" t="s">
        <v>1</v>
      </c>
      <c r="B105" s="1" t="s">
        <v>10</v>
      </c>
      <c r="C105" s="76" t="s">
        <v>54</v>
      </c>
      <c r="D105" s="76">
        <f>COUNTIF($C$2:C105,C105)</f>
        <v>24</v>
      </c>
      <c r="E105" s="1" t="s">
        <v>7</v>
      </c>
      <c r="F105" s="1" t="s">
        <v>15</v>
      </c>
      <c r="G105" s="1">
        <v>60</v>
      </c>
      <c r="H105" s="1">
        <v>65</v>
      </c>
      <c r="I105" s="1">
        <v>67</v>
      </c>
    </row>
    <row r="106" spans="1:9" x14ac:dyDescent="0.25">
      <c r="A106" s="2" t="s">
        <v>1</v>
      </c>
      <c r="B106" s="1" t="s">
        <v>10</v>
      </c>
      <c r="C106" s="76" t="s">
        <v>54</v>
      </c>
      <c r="D106" s="76">
        <f>COUNTIF($C$2:C106,C106)</f>
        <v>25</v>
      </c>
      <c r="E106" s="1" t="s">
        <v>7</v>
      </c>
      <c r="F106" s="1" t="s">
        <v>15</v>
      </c>
      <c r="G106" s="1">
        <v>81</v>
      </c>
      <c r="H106" s="1">
        <v>92</v>
      </c>
      <c r="I106" s="1">
        <v>97</v>
      </c>
    </row>
    <row r="107" spans="1:9" x14ac:dyDescent="0.25">
      <c r="A107" s="2" t="s">
        <v>1</v>
      </c>
      <c r="B107" s="1" t="s">
        <v>10</v>
      </c>
      <c r="C107" s="76" t="s">
        <v>54</v>
      </c>
      <c r="D107" s="76">
        <f>COUNTIF($C$2:C107,C107)</f>
        <v>26</v>
      </c>
      <c r="E107" s="1" t="s">
        <v>7</v>
      </c>
      <c r="F107" s="1" t="s">
        <v>15</v>
      </c>
      <c r="G107" s="1">
        <v>64</v>
      </c>
      <c r="H107" s="1">
        <v>66</v>
      </c>
      <c r="I107" s="1">
        <v>72</v>
      </c>
    </row>
    <row r="108" spans="1:9" x14ac:dyDescent="0.25">
      <c r="A108" s="2" t="s">
        <v>1</v>
      </c>
      <c r="B108" s="1" t="s">
        <v>10</v>
      </c>
      <c r="C108" s="76" t="s">
        <v>54</v>
      </c>
      <c r="D108" s="76">
        <f>COUNTIF($C$2:C108,C108)</f>
        <v>27</v>
      </c>
      <c r="E108" s="1" t="s">
        <v>7</v>
      </c>
      <c r="F108" s="1" t="s">
        <v>15</v>
      </c>
      <c r="G108" s="1">
        <v>83</v>
      </c>
      <c r="H108" s="1">
        <v>96</v>
      </c>
      <c r="I108" s="1">
        <v>96</v>
      </c>
    </row>
    <row r="109" spans="1:9" x14ac:dyDescent="0.25">
      <c r="A109" s="2" t="s">
        <v>1</v>
      </c>
      <c r="B109" s="1" t="s">
        <v>10</v>
      </c>
      <c r="C109" s="76" t="s">
        <v>54</v>
      </c>
      <c r="D109" s="76">
        <f>COUNTIF($C$2:C109,C109)</f>
        <v>28</v>
      </c>
      <c r="E109" s="1" t="s">
        <v>73</v>
      </c>
      <c r="F109" s="1" t="s">
        <v>14</v>
      </c>
      <c r="G109" s="1">
        <v>35</v>
      </c>
      <c r="H109" s="1">
        <v>34</v>
      </c>
      <c r="I109" s="1">
        <v>36</v>
      </c>
    </row>
    <row r="110" spans="1:9" x14ac:dyDescent="0.25">
      <c r="A110" s="2" t="s">
        <v>1</v>
      </c>
      <c r="B110" s="1" t="s">
        <v>10</v>
      </c>
      <c r="C110" s="76" t="s">
        <v>54</v>
      </c>
      <c r="D110" s="76">
        <f>COUNTIF($C$2:C110,C110)</f>
        <v>29</v>
      </c>
      <c r="E110" s="1" t="s">
        <v>73</v>
      </c>
      <c r="F110" s="1" t="s">
        <v>14</v>
      </c>
      <c r="G110" s="1">
        <v>67</v>
      </c>
      <c r="H110" s="1">
        <v>73</v>
      </c>
      <c r="I110" s="1">
        <v>74</v>
      </c>
    </row>
    <row r="111" spans="1:9" x14ac:dyDescent="0.25">
      <c r="A111" s="2" t="s">
        <v>1</v>
      </c>
      <c r="B111" s="1" t="s">
        <v>10</v>
      </c>
      <c r="C111" s="76" t="s">
        <v>54</v>
      </c>
      <c r="D111" s="76">
        <f>COUNTIF($C$2:C111,C111)</f>
        <v>30</v>
      </c>
      <c r="E111" s="1" t="s">
        <v>73</v>
      </c>
      <c r="F111" s="1" t="s">
        <v>14</v>
      </c>
      <c r="G111" s="1">
        <v>61</v>
      </c>
      <c r="H111" s="1">
        <v>68</v>
      </c>
      <c r="I111" s="1">
        <v>67</v>
      </c>
    </row>
    <row r="112" spans="1:9" x14ac:dyDescent="0.25">
      <c r="A112" s="2" t="s">
        <v>1</v>
      </c>
      <c r="B112" s="1" t="s">
        <v>10</v>
      </c>
      <c r="C112" s="76" t="s">
        <v>54</v>
      </c>
      <c r="D112" s="76">
        <f>COUNTIF($C$2:C112,C112)</f>
        <v>31</v>
      </c>
      <c r="E112" s="1" t="s">
        <v>73</v>
      </c>
      <c r="F112" s="1" t="s">
        <v>14</v>
      </c>
      <c r="G112" s="1">
        <v>67</v>
      </c>
      <c r="H112" s="1">
        <v>76</v>
      </c>
      <c r="I112" s="1">
        <v>76</v>
      </c>
    </row>
    <row r="113" spans="1:9" x14ac:dyDescent="0.25">
      <c r="A113" s="2" t="s">
        <v>1</v>
      </c>
      <c r="B113" s="1" t="s">
        <v>10</v>
      </c>
      <c r="C113" s="76" t="s">
        <v>54</v>
      </c>
      <c r="D113" s="76">
        <f>COUNTIF($C$2:C113,C113)</f>
        <v>32</v>
      </c>
      <c r="E113" s="1" t="s">
        <v>73</v>
      </c>
      <c r="F113" s="1" t="s">
        <v>14</v>
      </c>
      <c r="G113" s="1">
        <v>61</v>
      </c>
      <c r="H113" s="1">
        <v>64</v>
      </c>
      <c r="I113" s="1">
        <v>63</v>
      </c>
    </row>
    <row r="114" spans="1:9" x14ac:dyDescent="0.25">
      <c r="A114" s="2" t="s">
        <v>1</v>
      </c>
      <c r="B114" s="1" t="s">
        <v>10</v>
      </c>
      <c r="C114" s="76" t="s">
        <v>54</v>
      </c>
      <c r="D114" s="76">
        <f>COUNTIF($C$2:C114,C114)</f>
        <v>33</v>
      </c>
      <c r="E114" s="1" t="s">
        <v>73</v>
      </c>
      <c r="F114" s="1" t="s">
        <v>14</v>
      </c>
      <c r="G114" s="1">
        <v>59</v>
      </c>
      <c r="H114" s="1">
        <v>72</v>
      </c>
      <c r="I114" s="1">
        <v>72</v>
      </c>
    </row>
    <row r="115" spans="1:9" x14ac:dyDescent="0.25">
      <c r="A115" s="2" t="s">
        <v>1</v>
      </c>
      <c r="B115" s="1" t="s">
        <v>10</v>
      </c>
      <c r="C115" s="76" t="s">
        <v>54</v>
      </c>
      <c r="D115" s="76">
        <f>COUNTIF($C$2:C115,C115)</f>
        <v>34</v>
      </c>
      <c r="E115" s="1" t="s">
        <v>73</v>
      </c>
      <c r="F115" s="1" t="s">
        <v>15</v>
      </c>
      <c r="G115" s="1">
        <v>58</v>
      </c>
      <c r="H115" s="1">
        <v>67</v>
      </c>
      <c r="I115" s="1">
        <v>70</v>
      </c>
    </row>
    <row r="116" spans="1:9" x14ac:dyDescent="0.25">
      <c r="A116" s="2" t="s">
        <v>1</v>
      </c>
      <c r="B116" s="1" t="s">
        <v>10</v>
      </c>
      <c r="C116" s="77" t="s">
        <v>42</v>
      </c>
      <c r="D116" s="77">
        <f>COUNTIF($C$2:C116,C116)</f>
        <v>6</v>
      </c>
      <c r="E116" s="1" t="s">
        <v>7</v>
      </c>
      <c r="F116" s="1" t="s">
        <v>14</v>
      </c>
      <c r="G116" s="1">
        <v>70</v>
      </c>
      <c r="H116" s="1">
        <v>71</v>
      </c>
      <c r="I116" s="1">
        <v>71</v>
      </c>
    </row>
    <row r="117" spans="1:9" x14ac:dyDescent="0.25">
      <c r="A117" s="2" t="s">
        <v>1</v>
      </c>
      <c r="B117" s="1" t="s">
        <v>10</v>
      </c>
      <c r="C117" s="77" t="s">
        <v>42</v>
      </c>
      <c r="D117" s="77">
        <f>COUNTIF($C$2:C117,C117)</f>
        <v>7</v>
      </c>
      <c r="E117" s="1" t="s">
        <v>7</v>
      </c>
      <c r="F117" s="1" t="s">
        <v>14</v>
      </c>
      <c r="G117" s="1">
        <v>83</v>
      </c>
      <c r="H117" s="1">
        <v>88</v>
      </c>
      <c r="I117" s="1">
        <v>90</v>
      </c>
    </row>
    <row r="118" spans="1:9" x14ac:dyDescent="0.25">
      <c r="A118" s="2" t="s">
        <v>1</v>
      </c>
      <c r="B118" s="1" t="s">
        <v>10</v>
      </c>
      <c r="C118" s="77" t="s">
        <v>42</v>
      </c>
      <c r="D118" s="77">
        <f>COUNTIF($C$2:C118,C118)</f>
        <v>8</v>
      </c>
      <c r="E118" s="1" t="s">
        <v>7</v>
      </c>
      <c r="F118" s="1" t="s">
        <v>14</v>
      </c>
      <c r="G118" s="1">
        <v>84</v>
      </c>
      <c r="H118" s="1">
        <v>100</v>
      </c>
      <c r="I118" s="1">
        <v>96</v>
      </c>
    </row>
    <row r="119" spans="1:9" x14ac:dyDescent="0.25">
      <c r="A119" s="2" t="s">
        <v>1</v>
      </c>
      <c r="B119" s="1" t="s">
        <v>10</v>
      </c>
      <c r="C119" s="77" t="s">
        <v>42</v>
      </c>
      <c r="D119" s="77">
        <f>COUNTIF($C$2:C119,C119)</f>
        <v>9</v>
      </c>
      <c r="E119" s="1" t="s">
        <v>7</v>
      </c>
      <c r="F119" s="1" t="s">
        <v>14</v>
      </c>
      <c r="G119" s="1">
        <v>56</v>
      </c>
      <c r="H119" s="1">
        <v>61</v>
      </c>
      <c r="I119" s="1">
        <v>65</v>
      </c>
    </row>
    <row r="120" spans="1:9" x14ac:dyDescent="0.25">
      <c r="A120" s="2" t="s">
        <v>1</v>
      </c>
      <c r="B120" s="1" t="s">
        <v>10</v>
      </c>
      <c r="C120" s="77" t="s">
        <v>42</v>
      </c>
      <c r="D120" s="77">
        <f>COUNTIF($C$2:C120,C120)</f>
        <v>10</v>
      </c>
      <c r="E120" s="1" t="s">
        <v>7</v>
      </c>
      <c r="F120" s="1" t="s">
        <v>14</v>
      </c>
      <c r="G120" s="1">
        <v>83</v>
      </c>
      <c r="H120" s="1">
        <v>89</v>
      </c>
      <c r="I120" s="1">
        <v>88</v>
      </c>
    </row>
    <row r="121" spans="1:9" x14ac:dyDescent="0.25">
      <c r="A121" s="2" t="s">
        <v>1</v>
      </c>
      <c r="B121" s="1" t="s">
        <v>10</v>
      </c>
      <c r="C121" s="77" t="s">
        <v>42</v>
      </c>
      <c r="D121" s="77">
        <f>COUNTIF($C$2:C121,C121)</f>
        <v>11</v>
      </c>
      <c r="E121" s="1" t="s">
        <v>7</v>
      </c>
      <c r="F121" s="1" t="s">
        <v>14</v>
      </c>
      <c r="G121" s="1">
        <v>50</v>
      </c>
      <c r="H121" s="1">
        <v>48</v>
      </c>
      <c r="I121" s="1">
        <v>52</v>
      </c>
    </row>
    <row r="122" spans="1:9" x14ac:dyDescent="0.25">
      <c r="A122" s="2" t="s">
        <v>1</v>
      </c>
      <c r="B122" s="1" t="s">
        <v>10</v>
      </c>
      <c r="C122" s="77" t="s">
        <v>42</v>
      </c>
      <c r="D122" s="77">
        <f>COUNTIF($C$2:C122,C122)</f>
        <v>12</v>
      </c>
      <c r="E122" s="1" t="s">
        <v>7</v>
      </c>
      <c r="F122" s="1" t="s">
        <v>14</v>
      </c>
      <c r="G122" s="1">
        <v>58</v>
      </c>
      <c r="H122" s="1">
        <v>64</v>
      </c>
      <c r="I122" s="1">
        <v>56</v>
      </c>
    </row>
    <row r="123" spans="1:9" x14ac:dyDescent="0.25">
      <c r="A123" s="2" t="s">
        <v>1</v>
      </c>
      <c r="B123" s="1" t="s">
        <v>10</v>
      </c>
      <c r="C123" s="77" t="s">
        <v>42</v>
      </c>
      <c r="D123" s="77">
        <f>COUNTIF($C$2:C123,C123)</f>
        <v>13</v>
      </c>
      <c r="E123" s="1" t="s">
        <v>7</v>
      </c>
      <c r="F123" s="1" t="s">
        <v>14</v>
      </c>
      <c r="G123" s="1">
        <v>61</v>
      </c>
      <c r="H123" s="1">
        <v>69</v>
      </c>
      <c r="I123" s="1">
        <v>73</v>
      </c>
    </row>
    <row r="124" spans="1:9" x14ac:dyDescent="0.25">
      <c r="A124" s="2" t="s">
        <v>1</v>
      </c>
      <c r="B124" s="1" t="s">
        <v>10</v>
      </c>
      <c r="C124" s="77" t="s">
        <v>42</v>
      </c>
      <c r="D124" s="77">
        <f>COUNTIF($C$2:C124,C124)</f>
        <v>14</v>
      </c>
      <c r="E124" s="1" t="s">
        <v>7</v>
      </c>
      <c r="F124" s="1" t="s">
        <v>14</v>
      </c>
      <c r="G124" s="1">
        <v>65</v>
      </c>
      <c r="H124" s="1">
        <v>76</v>
      </c>
      <c r="I124" s="1">
        <v>70</v>
      </c>
    </row>
    <row r="125" spans="1:9" x14ac:dyDescent="0.25">
      <c r="A125" s="2" t="s">
        <v>1</v>
      </c>
      <c r="B125" s="1" t="s">
        <v>10</v>
      </c>
      <c r="C125" s="77" t="s">
        <v>42</v>
      </c>
      <c r="D125" s="77">
        <f>COUNTIF($C$2:C125,C125)</f>
        <v>15</v>
      </c>
      <c r="E125" s="1" t="s">
        <v>7</v>
      </c>
      <c r="F125" s="1" t="s">
        <v>14</v>
      </c>
      <c r="G125" s="1">
        <v>58</v>
      </c>
      <c r="H125" s="1">
        <v>69</v>
      </c>
      <c r="I125" s="1">
        <v>63</v>
      </c>
    </row>
    <row r="126" spans="1:9" x14ac:dyDescent="0.25">
      <c r="A126" s="2" t="s">
        <v>1</v>
      </c>
      <c r="B126" s="1" t="s">
        <v>10</v>
      </c>
      <c r="C126" s="77" t="s">
        <v>42</v>
      </c>
      <c r="D126" s="77">
        <f>COUNTIF($C$2:C126,C126)</f>
        <v>16</v>
      </c>
      <c r="E126" s="1" t="s">
        <v>7</v>
      </c>
      <c r="F126" s="1" t="s">
        <v>15</v>
      </c>
      <c r="G126" s="1">
        <v>69</v>
      </c>
      <c r="H126" s="1">
        <v>72</v>
      </c>
      <c r="I126" s="1">
        <v>72</v>
      </c>
    </row>
    <row r="127" spans="1:9" x14ac:dyDescent="0.25">
      <c r="A127" s="2" t="s">
        <v>1</v>
      </c>
      <c r="B127" s="1" t="s">
        <v>10</v>
      </c>
      <c r="C127" s="77" t="s">
        <v>42</v>
      </c>
      <c r="D127" s="77">
        <f>COUNTIF($C$2:C127,C127)</f>
        <v>17</v>
      </c>
      <c r="E127" s="1" t="s">
        <v>7</v>
      </c>
      <c r="F127" s="1" t="s">
        <v>15</v>
      </c>
      <c r="G127" s="1">
        <v>61</v>
      </c>
      <c r="H127" s="1">
        <v>75</v>
      </c>
      <c r="I127" s="1">
        <v>82</v>
      </c>
    </row>
    <row r="128" spans="1:9" x14ac:dyDescent="0.25">
      <c r="A128" s="2" t="s">
        <v>1</v>
      </c>
      <c r="B128" s="1" t="s">
        <v>10</v>
      </c>
      <c r="C128" s="77" t="s">
        <v>42</v>
      </c>
      <c r="D128" s="77">
        <f>COUNTIF($C$2:C128,C128)</f>
        <v>18</v>
      </c>
      <c r="E128" s="1" t="s">
        <v>7</v>
      </c>
      <c r="F128" s="1" t="s">
        <v>15</v>
      </c>
      <c r="G128" s="1">
        <v>45</v>
      </c>
      <c r="H128" s="1">
        <v>63</v>
      </c>
      <c r="I128" s="1">
        <v>67</v>
      </c>
    </row>
    <row r="129" spans="1:9" x14ac:dyDescent="0.25">
      <c r="A129" s="2" t="s">
        <v>1</v>
      </c>
      <c r="B129" s="1" t="s">
        <v>10</v>
      </c>
      <c r="C129" s="77" t="s">
        <v>42</v>
      </c>
      <c r="D129" s="77">
        <f>COUNTIF($C$2:C129,C129)</f>
        <v>19</v>
      </c>
      <c r="E129" s="1" t="s">
        <v>7</v>
      </c>
      <c r="F129" s="1" t="s">
        <v>15</v>
      </c>
      <c r="G129" s="1">
        <v>47</v>
      </c>
      <c r="H129" s="1">
        <v>58</v>
      </c>
      <c r="I129" s="1">
        <v>56</v>
      </c>
    </row>
    <row r="130" spans="1:9" x14ac:dyDescent="0.25">
      <c r="A130" s="2" t="s">
        <v>1</v>
      </c>
      <c r="B130" s="1" t="s">
        <v>10</v>
      </c>
      <c r="C130" s="77" t="s">
        <v>42</v>
      </c>
      <c r="D130" s="77">
        <f>COUNTIF($C$2:C130,C130)</f>
        <v>20</v>
      </c>
      <c r="E130" s="1" t="s">
        <v>7</v>
      </c>
      <c r="F130" s="1" t="s">
        <v>15</v>
      </c>
      <c r="G130" s="1">
        <v>77</v>
      </c>
      <c r="H130" s="1">
        <v>90</v>
      </c>
      <c r="I130" s="1">
        <v>93</v>
      </c>
    </row>
    <row r="131" spans="1:9" x14ac:dyDescent="0.25">
      <c r="A131" s="2" t="s">
        <v>1</v>
      </c>
      <c r="B131" s="1" t="s">
        <v>10</v>
      </c>
      <c r="C131" s="77" t="s">
        <v>42</v>
      </c>
      <c r="D131" s="77">
        <f>COUNTIF($C$2:C131,C131)</f>
        <v>21</v>
      </c>
      <c r="E131" s="1" t="s">
        <v>7</v>
      </c>
      <c r="F131" s="1" t="s">
        <v>15</v>
      </c>
      <c r="G131" s="1">
        <v>92</v>
      </c>
      <c r="H131" s="1">
        <v>100</v>
      </c>
      <c r="I131" s="1">
        <v>100</v>
      </c>
    </row>
    <row r="132" spans="1:9" x14ac:dyDescent="0.25">
      <c r="A132" s="2" t="s">
        <v>1</v>
      </c>
      <c r="B132" s="1" t="s">
        <v>10</v>
      </c>
      <c r="C132" s="77" t="s">
        <v>42</v>
      </c>
      <c r="D132" s="77">
        <f>COUNTIF($C$2:C132,C132)</f>
        <v>22</v>
      </c>
      <c r="E132" s="1" t="s">
        <v>73</v>
      </c>
      <c r="F132" s="1" t="s">
        <v>14</v>
      </c>
      <c r="G132" s="1">
        <v>37</v>
      </c>
      <c r="H132" s="1">
        <v>51</v>
      </c>
      <c r="I132" s="1">
        <v>51</v>
      </c>
    </row>
    <row r="133" spans="1:9" x14ac:dyDescent="0.25">
      <c r="A133" s="2" t="s">
        <v>1</v>
      </c>
      <c r="B133" s="1" t="s">
        <v>10</v>
      </c>
      <c r="C133" s="77" t="s">
        <v>42</v>
      </c>
      <c r="D133" s="77">
        <f>COUNTIF($C$2:C133,C133)</f>
        <v>23</v>
      </c>
      <c r="E133" s="1" t="s">
        <v>73</v>
      </c>
      <c r="F133" s="1" t="s">
        <v>15</v>
      </c>
      <c r="G133" s="1">
        <v>27</v>
      </c>
      <c r="H133" s="1">
        <v>49</v>
      </c>
      <c r="I133" s="1">
        <v>50</v>
      </c>
    </row>
    <row r="134" spans="1:9" x14ac:dyDescent="0.25">
      <c r="A134" s="2" t="s">
        <v>1</v>
      </c>
      <c r="B134" s="1" t="s">
        <v>10</v>
      </c>
      <c r="C134" s="77" t="s">
        <v>42</v>
      </c>
      <c r="D134" s="77">
        <f>COUNTIF($C$2:C134,C134)</f>
        <v>24</v>
      </c>
      <c r="E134" s="1" t="s">
        <v>73</v>
      </c>
      <c r="F134" s="1" t="s">
        <v>15</v>
      </c>
      <c r="G134" s="1">
        <v>69</v>
      </c>
      <c r="H134" s="1">
        <v>85</v>
      </c>
      <c r="I134" s="1">
        <v>84</v>
      </c>
    </row>
    <row r="135" spans="1:9" x14ac:dyDescent="0.25">
      <c r="A135" s="2" t="s">
        <v>1</v>
      </c>
      <c r="B135" s="1" t="s">
        <v>10</v>
      </c>
      <c r="C135" s="77" t="s">
        <v>42</v>
      </c>
      <c r="D135" s="77">
        <f>COUNTIF($C$2:C135,C135)</f>
        <v>25</v>
      </c>
      <c r="E135" s="1" t="s">
        <v>73</v>
      </c>
      <c r="F135" s="1" t="s">
        <v>15</v>
      </c>
      <c r="G135" s="1">
        <v>55</v>
      </c>
      <c r="H135" s="1">
        <v>67</v>
      </c>
      <c r="I135" s="1">
        <v>68</v>
      </c>
    </row>
    <row r="136" spans="1:9" x14ac:dyDescent="0.25">
      <c r="A136" s="2" t="s">
        <v>1</v>
      </c>
      <c r="B136" s="1" t="s">
        <v>10</v>
      </c>
      <c r="C136" s="77" t="s">
        <v>42</v>
      </c>
      <c r="D136" s="77">
        <f>COUNTIF($C$2:C136,C136)</f>
        <v>26</v>
      </c>
      <c r="E136" s="1" t="s">
        <v>73</v>
      </c>
      <c r="F136" s="1" t="s">
        <v>15</v>
      </c>
      <c r="G136" s="1">
        <v>47</v>
      </c>
      <c r="H136" s="1">
        <v>61</v>
      </c>
      <c r="I136" s="1">
        <v>64</v>
      </c>
    </row>
    <row r="137" spans="1:9" x14ac:dyDescent="0.25">
      <c r="A137" s="2" t="s">
        <v>1</v>
      </c>
      <c r="B137" s="1" t="s">
        <v>10</v>
      </c>
      <c r="C137" s="77" t="s">
        <v>42</v>
      </c>
      <c r="D137" s="77">
        <f>COUNTIF($C$2:C137,C137)</f>
        <v>27</v>
      </c>
      <c r="E137" s="1" t="s">
        <v>73</v>
      </c>
      <c r="F137" s="1" t="s">
        <v>15</v>
      </c>
      <c r="G137" s="1">
        <v>58</v>
      </c>
      <c r="H137" s="1">
        <v>62</v>
      </c>
      <c r="I137" s="1">
        <v>64</v>
      </c>
    </row>
    <row r="138" spans="1:9" x14ac:dyDescent="0.25">
      <c r="A138" s="2" t="s">
        <v>1</v>
      </c>
      <c r="B138" s="1" t="s">
        <v>10</v>
      </c>
      <c r="C138" s="78" t="s">
        <v>52</v>
      </c>
      <c r="D138" s="78">
        <f>COUNTIF($C$2:C138,C138)</f>
        <v>5</v>
      </c>
      <c r="E138" s="1" t="s">
        <v>7</v>
      </c>
      <c r="F138" s="1" t="s">
        <v>14</v>
      </c>
      <c r="G138" s="1">
        <v>65</v>
      </c>
      <c r="H138" s="1">
        <v>79</v>
      </c>
      <c r="I138" s="1">
        <v>73</v>
      </c>
    </row>
    <row r="139" spans="1:9" x14ac:dyDescent="0.25">
      <c r="A139" s="2" t="s">
        <v>1</v>
      </c>
      <c r="B139" s="1" t="s">
        <v>10</v>
      </c>
      <c r="C139" s="78" t="s">
        <v>52</v>
      </c>
      <c r="D139" s="78">
        <f>COUNTIF($C$2:C139,C139)</f>
        <v>6</v>
      </c>
      <c r="E139" s="1" t="s">
        <v>7</v>
      </c>
      <c r="F139" s="1" t="s">
        <v>14</v>
      </c>
      <c r="G139" s="1">
        <v>84</v>
      </c>
      <c r="H139" s="1">
        <v>91</v>
      </c>
      <c r="I139" s="1">
        <v>93</v>
      </c>
    </row>
    <row r="140" spans="1:9" x14ac:dyDescent="0.25">
      <c r="A140" s="2" t="s">
        <v>1</v>
      </c>
      <c r="B140" s="1" t="s">
        <v>10</v>
      </c>
      <c r="C140" s="78" t="s">
        <v>52</v>
      </c>
      <c r="D140" s="78">
        <f>COUNTIF($C$2:C140,C140)</f>
        <v>7</v>
      </c>
      <c r="E140" s="1" t="s">
        <v>7</v>
      </c>
      <c r="F140" s="1" t="s">
        <v>14</v>
      </c>
      <c r="G140" s="1">
        <v>81</v>
      </c>
      <c r="H140" s="1">
        <v>84</v>
      </c>
      <c r="I140" s="1">
        <v>86</v>
      </c>
    </row>
    <row r="141" spans="1:9" x14ac:dyDescent="0.25">
      <c r="A141" s="2" t="s">
        <v>1</v>
      </c>
      <c r="B141" s="1" t="s">
        <v>10</v>
      </c>
      <c r="C141" s="78" t="s">
        <v>52</v>
      </c>
      <c r="D141" s="78">
        <f>COUNTIF($C$2:C141,C141)</f>
        <v>8</v>
      </c>
      <c r="E141" s="1" t="s">
        <v>7</v>
      </c>
      <c r="F141" s="1" t="s">
        <v>14</v>
      </c>
      <c r="G141" s="1">
        <v>88</v>
      </c>
      <c r="H141" s="1">
        <v>84</v>
      </c>
      <c r="I141" s="1">
        <v>88</v>
      </c>
    </row>
    <row r="142" spans="1:9" x14ac:dyDescent="0.25">
      <c r="A142" s="2" t="s">
        <v>1</v>
      </c>
      <c r="B142" s="1" t="s">
        <v>10</v>
      </c>
      <c r="C142" s="78" t="s">
        <v>52</v>
      </c>
      <c r="D142" s="78">
        <f>COUNTIF($C$2:C142,C142)</f>
        <v>9</v>
      </c>
      <c r="E142" s="1" t="s">
        <v>7</v>
      </c>
      <c r="F142" s="1" t="s">
        <v>14</v>
      </c>
      <c r="G142" s="1">
        <v>73</v>
      </c>
      <c r="H142" s="1">
        <v>87</v>
      </c>
      <c r="I142" s="1">
        <v>89</v>
      </c>
    </row>
    <row r="143" spans="1:9" x14ac:dyDescent="0.25">
      <c r="A143" s="2" t="s">
        <v>1</v>
      </c>
      <c r="B143" s="1" t="s">
        <v>10</v>
      </c>
      <c r="C143" s="78" t="s">
        <v>52</v>
      </c>
      <c r="D143" s="78">
        <f>COUNTIF($C$2:C143,C143)</f>
        <v>10</v>
      </c>
      <c r="E143" s="1" t="s">
        <v>7</v>
      </c>
      <c r="F143" s="1" t="s">
        <v>15</v>
      </c>
      <c r="G143" s="1">
        <v>66</v>
      </c>
      <c r="H143" s="1">
        <v>73</v>
      </c>
      <c r="I143" s="1">
        <v>72</v>
      </c>
    </row>
    <row r="144" spans="1:9" x14ac:dyDescent="0.25">
      <c r="A144" s="2" t="s">
        <v>1</v>
      </c>
      <c r="B144" s="1" t="s">
        <v>10</v>
      </c>
      <c r="C144" s="78" t="s">
        <v>52</v>
      </c>
      <c r="D144" s="78">
        <f>COUNTIF($C$2:C144,C144)</f>
        <v>11</v>
      </c>
      <c r="E144" s="1" t="s">
        <v>7</v>
      </c>
      <c r="F144" s="1" t="s">
        <v>15</v>
      </c>
      <c r="G144" s="1">
        <v>82</v>
      </c>
      <c r="H144" s="1">
        <v>85</v>
      </c>
      <c r="I144" s="1">
        <v>99</v>
      </c>
    </row>
    <row r="145" spans="1:9" x14ac:dyDescent="0.25">
      <c r="A145" s="2" t="s">
        <v>1</v>
      </c>
      <c r="B145" s="1" t="s">
        <v>10</v>
      </c>
      <c r="C145" s="78" t="s">
        <v>52</v>
      </c>
      <c r="D145" s="78">
        <f>COUNTIF($C$2:C145,C145)</f>
        <v>12</v>
      </c>
      <c r="E145" s="1" t="s">
        <v>7</v>
      </c>
      <c r="F145" s="1" t="s">
        <v>15</v>
      </c>
      <c r="G145" s="1">
        <v>64</v>
      </c>
      <c r="H145" s="1">
        <v>77</v>
      </c>
      <c r="I145" s="1">
        <v>79</v>
      </c>
    </row>
    <row r="146" spans="1:9" x14ac:dyDescent="0.25">
      <c r="A146" s="2" t="s">
        <v>1</v>
      </c>
      <c r="B146" s="1" t="s">
        <v>10</v>
      </c>
      <c r="C146" s="78" t="s">
        <v>52</v>
      </c>
      <c r="D146" s="78">
        <f>COUNTIF($C$2:C146,C146)</f>
        <v>13</v>
      </c>
      <c r="E146" s="1" t="s">
        <v>7</v>
      </c>
      <c r="F146" s="1" t="s">
        <v>15</v>
      </c>
      <c r="G146" s="1">
        <v>55</v>
      </c>
      <c r="H146" s="1">
        <v>64</v>
      </c>
      <c r="I146" s="1">
        <v>63</v>
      </c>
    </row>
    <row r="147" spans="1:9" x14ac:dyDescent="0.25">
      <c r="A147" s="2" t="s">
        <v>1</v>
      </c>
      <c r="B147" s="1" t="s">
        <v>10</v>
      </c>
      <c r="C147" s="78" t="s">
        <v>52</v>
      </c>
      <c r="D147" s="78">
        <f>COUNTIF($C$2:C147,C147)</f>
        <v>14</v>
      </c>
      <c r="E147" s="1" t="s">
        <v>7</v>
      </c>
      <c r="F147" s="1" t="s">
        <v>15</v>
      </c>
      <c r="G147" s="1">
        <v>85</v>
      </c>
      <c r="H147" s="1">
        <v>96</v>
      </c>
      <c r="I147" s="1">
        <v>95</v>
      </c>
    </row>
    <row r="148" spans="1:9" x14ac:dyDescent="0.25">
      <c r="A148" s="2" t="s">
        <v>1</v>
      </c>
      <c r="B148" s="1" t="s">
        <v>10</v>
      </c>
      <c r="C148" s="78" t="s">
        <v>52</v>
      </c>
      <c r="D148" s="78">
        <f>COUNTIF($C$2:C148,C148)</f>
        <v>15</v>
      </c>
      <c r="E148" s="1" t="s">
        <v>7</v>
      </c>
      <c r="F148" s="1" t="s">
        <v>15</v>
      </c>
      <c r="G148" s="1">
        <v>80</v>
      </c>
      <c r="H148" s="1">
        <v>93</v>
      </c>
      <c r="I148" s="1">
        <v>99</v>
      </c>
    </row>
    <row r="149" spans="1:9" x14ac:dyDescent="0.25">
      <c r="A149" s="2" t="s">
        <v>1</v>
      </c>
      <c r="B149" s="1" t="s">
        <v>10</v>
      </c>
      <c r="C149" s="78" t="s">
        <v>52</v>
      </c>
      <c r="D149" s="78">
        <f>COUNTIF($C$2:C149,C149)</f>
        <v>16</v>
      </c>
      <c r="E149" s="1" t="s">
        <v>73</v>
      </c>
      <c r="F149" s="1" t="s">
        <v>14</v>
      </c>
      <c r="G149" s="1">
        <v>50</v>
      </c>
      <c r="H149" s="1">
        <v>62</v>
      </c>
      <c r="I149" s="1">
        <v>62</v>
      </c>
    </row>
    <row r="150" spans="1:9" x14ac:dyDescent="0.25">
      <c r="A150" s="2" t="s">
        <v>1</v>
      </c>
      <c r="B150" s="1" t="s">
        <v>10</v>
      </c>
      <c r="C150" s="78" t="s">
        <v>52</v>
      </c>
      <c r="D150" s="78">
        <f>COUNTIF($C$2:C150,C150)</f>
        <v>17</v>
      </c>
      <c r="E150" s="1" t="s">
        <v>73</v>
      </c>
      <c r="F150" s="1" t="s">
        <v>15</v>
      </c>
      <c r="G150" s="1">
        <v>49</v>
      </c>
      <c r="H150" s="1">
        <v>57</v>
      </c>
      <c r="I150" s="1">
        <v>61</v>
      </c>
    </row>
    <row r="151" spans="1:9" x14ac:dyDescent="0.25">
      <c r="A151" s="2" t="s">
        <v>1</v>
      </c>
      <c r="B151" s="1" t="s">
        <v>10</v>
      </c>
      <c r="C151" s="79" t="s">
        <v>59</v>
      </c>
      <c r="D151" s="79">
        <f>COUNTIF($C$2:C151,C151)</f>
        <v>3</v>
      </c>
      <c r="E151" s="1" t="s">
        <v>7</v>
      </c>
      <c r="F151" s="1" t="s">
        <v>14</v>
      </c>
      <c r="G151" s="1">
        <v>53</v>
      </c>
      <c r="H151" s="1">
        <v>61</v>
      </c>
      <c r="I151" s="1">
        <v>59</v>
      </c>
    </row>
    <row r="152" spans="1:9" x14ac:dyDescent="0.25">
      <c r="A152" s="2" t="s">
        <v>1</v>
      </c>
      <c r="B152" s="1" t="s">
        <v>10</v>
      </c>
      <c r="C152" s="79" t="s">
        <v>59</v>
      </c>
      <c r="D152" s="79">
        <f>COUNTIF($C$2:C152,C152)</f>
        <v>4</v>
      </c>
      <c r="E152" s="1" t="s">
        <v>7</v>
      </c>
      <c r="F152" s="1" t="s">
        <v>14</v>
      </c>
      <c r="G152" s="1">
        <v>71</v>
      </c>
      <c r="H152" s="1">
        <v>68</v>
      </c>
      <c r="I152" s="1">
        <v>68</v>
      </c>
    </row>
    <row r="153" spans="1:9" x14ac:dyDescent="0.25">
      <c r="A153" s="2" t="s">
        <v>1</v>
      </c>
      <c r="B153" s="1" t="s">
        <v>10</v>
      </c>
      <c r="C153" s="79" t="s">
        <v>59</v>
      </c>
      <c r="D153" s="79">
        <f>COUNTIF($C$2:C153,C153)</f>
        <v>5</v>
      </c>
      <c r="E153" s="1" t="s">
        <v>7</v>
      </c>
      <c r="F153" s="1" t="s">
        <v>14</v>
      </c>
      <c r="G153" s="1">
        <v>62</v>
      </c>
      <c r="H153" s="1">
        <v>67</v>
      </c>
      <c r="I153" s="1">
        <v>70</v>
      </c>
    </row>
    <row r="154" spans="1:9" x14ac:dyDescent="0.25">
      <c r="A154" s="2" t="s">
        <v>1</v>
      </c>
      <c r="B154" s="1" t="s">
        <v>10</v>
      </c>
      <c r="C154" s="79" t="s">
        <v>59</v>
      </c>
      <c r="D154" s="79">
        <f>COUNTIF($C$2:C154,C154)</f>
        <v>6</v>
      </c>
      <c r="E154" s="1" t="s">
        <v>7</v>
      </c>
      <c r="F154" s="1" t="s">
        <v>15</v>
      </c>
      <c r="G154" s="1">
        <v>59</v>
      </c>
      <c r="H154" s="1">
        <v>75</v>
      </c>
      <c r="I154" s="1">
        <v>79</v>
      </c>
    </row>
    <row r="155" spans="1:9" x14ac:dyDescent="0.25">
      <c r="A155" s="2" t="s">
        <v>1</v>
      </c>
      <c r="B155" s="1" t="s">
        <v>11</v>
      </c>
      <c r="C155" s="74" t="s">
        <v>53</v>
      </c>
      <c r="D155" s="74">
        <f>COUNTIF($C$2:C155,C155)</f>
        <v>29</v>
      </c>
      <c r="E155" s="1" t="s">
        <v>7</v>
      </c>
      <c r="F155" s="1" t="s">
        <v>14</v>
      </c>
      <c r="G155" s="1">
        <v>23</v>
      </c>
      <c r="H155" s="1">
        <v>33</v>
      </c>
      <c r="I155" s="1">
        <v>33</v>
      </c>
    </row>
    <row r="156" spans="1:9" x14ac:dyDescent="0.25">
      <c r="A156" s="2" t="s">
        <v>1</v>
      </c>
      <c r="B156" s="1" t="s">
        <v>11</v>
      </c>
      <c r="C156" s="74" t="s">
        <v>53</v>
      </c>
      <c r="D156" s="74">
        <f>COUNTIF($C$2:C156,C156)</f>
        <v>30</v>
      </c>
      <c r="E156" s="1" t="s">
        <v>7</v>
      </c>
      <c r="F156" s="1" t="s">
        <v>14</v>
      </c>
      <c r="G156" s="1">
        <v>70</v>
      </c>
      <c r="H156" s="1">
        <v>75</v>
      </c>
      <c r="I156" s="1">
        <v>76</v>
      </c>
    </row>
    <row r="157" spans="1:9" x14ac:dyDescent="0.25">
      <c r="A157" s="2" t="s">
        <v>1</v>
      </c>
      <c r="B157" s="1" t="s">
        <v>11</v>
      </c>
      <c r="C157" s="74" t="s">
        <v>53</v>
      </c>
      <c r="D157" s="74">
        <f>COUNTIF($C$2:C157,C157)</f>
        <v>31</v>
      </c>
      <c r="E157" s="1" t="s">
        <v>7</v>
      </c>
      <c r="F157" s="1" t="s">
        <v>14</v>
      </c>
      <c r="G157" s="1">
        <v>62</v>
      </c>
      <c r="H157" s="1">
        <v>64</v>
      </c>
      <c r="I157" s="1">
        <v>64</v>
      </c>
    </row>
    <row r="158" spans="1:9" x14ac:dyDescent="0.25">
      <c r="A158" s="2" t="s">
        <v>1</v>
      </c>
      <c r="B158" s="1" t="s">
        <v>11</v>
      </c>
      <c r="C158" s="74" t="s">
        <v>53</v>
      </c>
      <c r="D158" s="74">
        <f>COUNTIF($C$2:C158,C158)</f>
        <v>32</v>
      </c>
      <c r="E158" s="1" t="s">
        <v>7</v>
      </c>
      <c r="F158" s="1" t="s">
        <v>14</v>
      </c>
      <c r="G158" s="1">
        <v>75</v>
      </c>
      <c r="H158" s="1">
        <v>86</v>
      </c>
      <c r="I158" s="1">
        <v>84</v>
      </c>
    </row>
    <row r="159" spans="1:9" x14ac:dyDescent="0.25">
      <c r="A159" s="2" t="s">
        <v>1</v>
      </c>
      <c r="B159" s="1" t="s">
        <v>11</v>
      </c>
      <c r="C159" s="74" t="s">
        <v>53</v>
      </c>
      <c r="D159" s="74">
        <f>COUNTIF($C$2:C159,C159)</f>
        <v>33</v>
      </c>
      <c r="E159" s="1" t="s">
        <v>7</v>
      </c>
      <c r="F159" s="1" t="s">
        <v>14</v>
      </c>
      <c r="G159" s="1">
        <v>68</v>
      </c>
      <c r="H159" s="1">
        <v>77</v>
      </c>
      <c r="I159" s="1">
        <v>75</v>
      </c>
    </row>
    <row r="160" spans="1:9" x14ac:dyDescent="0.25">
      <c r="A160" s="2" t="s">
        <v>1</v>
      </c>
      <c r="B160" s="1" t="s">
        <v>11</v>
      </c>
      <c r="C160" s="74" t="s">
        <v>53</v>
      </c>
      <c r="D160" s="74">
        <f>COUNTIF($C$2:C160,C160)</f>
        <v>34</v>
      </c>
      <c r="E160" s="1" t="s">
        <v>7</v>
      </c>
      <c r="F160" s="1" t="s">
        <v>14</v>
      </c>
      <c r="G160" s="1">
        <v>70</v>
      </c>
      <c r="H160" s="1">
        <v>75</v>
      </c>
      <c r="I160" s="1">
        <v>78</v>
      </c>
    </row>
    <row r="161" spans="1:9" x14ac:dyDescent="0.25">
      <c r="A161" s="2" t="s">
        <v>1</v>
      </c>
      <c r="B161" s="1" t="s">
        <v>11</v>
      </c>
      <c r="C161" s="74" t="s">
        <v>53</v>
      </c>
      <c r="D161" s="74">
        <f>COUNTIF($C$2:C161,C161)</f>
        <v>35</v>
      </c>
      <c r="E161" s="1" t="s">
        <v>7</v>
      </c>
      <c r="F161" s="1" t="s">
        <v>14</v>
      </c>
      <c r="G161" s="1">
        <v>67</v>
      </c>
      <c r="H161" s="1">
        <v>72</v>
      </c>
      <c r="I161" s="1">
        <v>71</v>
      </c>
    </row>
    <row r="162" spans="1:9" x14ac:dyDescent="0.25">
      <c r="A162" s="2" t="s">
        <v>1</v>
      </c>
      <c r="B162" s="1" t="s">
        <v>11</v>
      </c>
      <c r="C162" s="74" t="s">
        <v>53</v>
      </c>
      <c r="D162" s="74">
        <f>COUNTIF($C$2:C162,C162)</f>
        <v>36</v>
      </c>
      <c r="E162" s="1" t="s">
        <v>7</v>
      </c>
      <c r="F162" s="1" t="s">
        <v>14</v>
      </c>
      <c r="G162" s="1">
        <v>88</v>
      </c>
      <c r="H162" s="1">
        <v>90</v>
      </c>
      <c r="I162" s="1">
        <v>90</v>
      </c>
    </row>
    <row r="163" spans="1:9" x14ac:dyDescent="0.25">
      <c r="A163" s="2" t="s">
        <v>1</v>
      </c>
      <c r="B163" s="1" t="s">
        <v>11</v>
      </c>
      <c r="C163" s="74" t="s">
        <v>53</v>
      </c>
      <c r="D163" s="74">
        <f>COUNTIF($C$2:C163,C163)</f>
        <v>37</v>
      </c>
      <c r="E163" s="1" t="s">
        <v>7</v>
      </c>
      <c r="F163" s="1" t="s">
        <v>14</v>
      </c>
      <c r="G163" s="1">
        <v>53</v>
      </c>
      <c r="H163" s="1">
        <v>48</v>
      </c>
      <c r="I163" s="1">
        <v>49</v>
      </c>
    </row>
    <row r="164" spans="1:9" x14ac:dyDescent="0.25">
      <c r="A164" s="2" t="s">
        <v>1</v>
      </c>
      <c r="B164" s="1" t="s">
        <v>11</v>
      </c>
      <c r="C164" s="74" t="s">
        <v>53</v>
      </c>
      <c r="D164" s="74">
        <f>COUNTIF($C$2:C164,C164)</f>
        <v>38</v>
      </c>
      <c r="E164" s="1" t="s">
        <v>7</v>
      </c>
      <c r="F164" s="1" t="s">
        <v>14</v>
      </c>
      <c r="G164" s="1">
        <v>60</v>
      </c>
      <c r="H164" s="1">
        <v>61</v>
      </c>
      <c r="I164" s="1">
        <v>57</v>
      </c>
    </row>
    <row r="165" spans="1:9" x14ac:dyDescent="0.25">
      <c r="A165" s="2" t="s">
        <v>1</v>
      </c>
      <c r="B165" s="1" t="s">
        <v>11</v>
      </c>
      <c r="C165" s="74" t="s">
        <v>53</v>
      </c>
      <c r="D165" s="74">
        <f>COUNTIF($C$2:C165,C165)</f>
        <v>39</v>
      </c>
      <c r="E165" s="1" t="s">
        <v>7</v>
      </c>
      <c r="F165" s="1" t="s">
        <v>14</v>
      </c>
      <c r="G165" s="1">
        <v>86</v>
      </c>
      <c r="H165" s="1">
        <v>92</v>
      </c>
      <c r="I165" s="1">
        <v>83</v>
      </c>
    </row>
    <row r="166" spans="1:9" x14ac:dyDescent="0.25">
      <c r="A166" s="2" t="s">
        <v>1</v>
      </c>
      <c r="B166" s="1" t="s">
        <v>11</v>
      </c>
      <c r="C166" s="74" t="s">
        <v>53</v>
      </c>
      <c r="D166" s="74">
        <f>COUNTIF($C$2:C166,C166)</f>
        <v>40</v>
      </c>
      <c r="E166" s="1" t="s">
        <v>7</v>
      </c>
      <c r="F166" s="1" t="s">
        <v>14</v>
      </c>
      <c r="G166" s="1">
        <v>74</v>
      </c>
      <c r="H166" s="1">
        <v>77</v>
      </c>
      <c r="I166" s="1">
        <v>72</v>
      </c>
    </row>
    <row r="167" spans="1:9" x14ac:dyDescent="0.25">
      <c r="A167" s="2" t="s">
        <v>1</v>
      </c>
      <c r="B167" s="1" t="s">
        <v>11</v>
      </c>
      <c r="C167" s="74" t="s">
        <v>53</v>
      </c>
      <c r="D167" s="74">
        <f>COUNTIF($C$2:C167,C167)</f>
        <v>41</v>
      </c>
      <c r="E167" s="1" t="s">
        <v>7</v>
      </c>
      <c r="F167" s="1" t="s">
        <v>14</v>
      </c>
      <c r="G167" s="1">
        <v>70</v>
      </c>
      <c r="H167" s="1">
        <v>77</v>
      </c>
      <c r="I167" s="1">
        <v>76</v>
      </c>
    </row>
    <row r="168" spans="1:9" x14ac:dyDescent="0.25">
      <c r="A168" s="2" t="s">
        <v>1</v>
      </c>
      <c r="B168" s="1" t="s">
        <v>11</v>
      </c>
      <c r="C168" s="74" t="s">
        <v>53</v>
      </c>
      <c r="D168" s="74">
        <f>COUNTIF($C$2:C168,C168)</f>
        <v>42</v>
      </c>
      <c r="E168" s="1" t="s">
        <v>7</v>
      </c>
      <c r="F168" s="1" t="s">
        <v>15</v>
      </c>
      <c r="G168" s="1">
        <v>69</v>
      </c>
      <c r="H168" s="1">
        <v>84</v>
      </c>
      <c r="I168" s="1">
        <v>81</v>
      </c>
    </row>
    <row r="169" spans="1:9" x14ac:dyDescent="0.25">
      <c r="A169" s="2" t="s">
        <v>1</v>
      </c>
      <c r="B169" s="1" t="s">
        <v>11</v>
      </c>
      <c r="C169" s="74" t="s">
        <v>53</v>
      </c>
      <c r="D169" s="74">
        <f>COUNTIF($C$2:C169,C169)</f>
        <v>43</v>
      </c>
      <c r="E169" s="1" t="s">
        <v>73</v>
      </c>
      <c r="F169" s="1" t="s">
        <v>14</v>
      </c>
      <c r="G169" s="1">
        <v>34</v>
      </c>
      <c r="H169" s="1">
        <v>44</v>
      </c>
      <c r="I169" s="1">
        <v>43</v>
      </c>
    </row>
    <row r="170" spans="1:9" x14ac:dyDescent="0.25">
      <c r="A170" s="2" t="s">
        <v>1</v>
      </c>
      <c r="B170" s="1" t="s">
        <v>11</v>
      </c>
      <c r="C170" s="74" t="s">
        <v>53</v>
      </c>
      <c r="D170" s="74">
        <f>COUNTIF($C$2:C170,C170)</f>
        <v>44</v>
      </c>
      <c r="E170" s="1" t="s">
        <v>73</v>
      </c>
      <c r="F170" s="1" t="s">
        <v>14</v>
      </c>
      <c r="G170" s="1">
        <v>38</v>
      </c>
      <c r="H170" s="1">
        <v>45</v>
      </c>
      <c r="I170" s="1">
        <v>44</v>
      </c>
    </row>
    <row r="171" spans="1:9" x14ac:dyDescent="0.25">
      <c r="A171" s="2" t="s">
        <v>1</v>
      </c>
      <c r="B171" s="1" t="s">
        <v>11</v>
      </c>
      <c r="C171" s="74" t="s">
        <v>53</v>
      </c>
      <c r="D171" s="74">
        <f>COUNTIF($C$2:C171,C171)</f>
        <v>45</v>
      </c>
      <c r="E171" s="1" t="s">
        <v>73</v>
      </c>
      <c r="F171" s="1" t="s">
        <v>15</v>
      </c>
      <c r="G171" s="1">
        <v>60</v>
      </c>
      <c r="H171" s="1">
        <v>67</v>
      </c>
      <c r="I171" s="1">
        <v>74</v>
      </c>
    </row>
    <row r="172" spans="1:9" x14ac:dyDescent="0.25">
      <c r="A172" s="2" t="s">
        <v>1</v>
      </c>
      <c r="B172" s="1" t="s">
        <v>11</v>
      </c>
      <c r="C172" s="74" t="s">
        <v>53</v>
      </c>
      <c r="D172" s="74">
        <f>COUNTIF($C$2:C172,C172)</f>
        <v>46</v>
      </c>
      <c r="E172" s="1" t="s">
        <v>73</v>
      </c>
      <c r="F172" s="1" t="s">
        <v>15</v>
      </c>
      <c r="G172" s="1">
        <v>52</v>
      </c>
      <c r="H172" s="1">
        <v>59</v>
      </c>
      <c r="I172" s="1">
        <v>58</v>
      </c>
    </row>
    <row r="173" spans="1:9" x14ac:dyDescent="0.25">
      <c r="A173" s="2" t="s">
        <v>1</v>
      </c>
      <c r="B173" s="1" t="s">
        <v>11</v>
      </c>
      <c r="C173" s="74" t="s">
        <v>53</v>
      </c>
      <c r="D173" s="74">
        <f>COUNTIF($C$2:C173,C173)</f>
        <v>47</v>
      </c>
      <c r="E173" s="1" t="s">
        <v>73</v>
      </c>
      <c r="F173" s="1" t="s">
        <v>15</v>
      </c>
      <c r="G173" s="1">
        <v>62</v>
      </c>
      <c r="H173" s="1">
        <v>74</v>
      </c>
      <c r="I173" s="1">
        <v>71</v>
      </c>
    </row>
    <row r="174" spans="1:9" x14ac:dyDescent="0.25">
      <c r="A174" s="2" t="s">
        <v>1</v>
      </c>
      <c r="B174" s="1" t="s">
        <v>11</v>
      </c>
      <c r="C174" s="74" t="s">
        <v>53</v>
      </c>
      <c r="D174" s="74">
        <f>COUNTIF($C$2:C174,C174)</f>
        <v>48</v>
      </c>
      <c r="E174" s="1" t="s">
        <v>73</v>
      </c>
      <c r="F174" s="1" t="s">
        <v>15</v>
      </c>
      <c r="G174" s="1">
        <v>58</v>
      </c>
      <c r="H174" s="1">
        <v>80</v>
      </c>
      <c r="I174" s="1">
        <v>76</v>
      </c>
    </row>
    <row r="175" spans="1:9" x14ac:dyDescent="0.25">
      <c r="A175" s="2" t="s">
        <v>1</v>
      </c>
      <c r="B175" s="1" t="s">
        <v>11</v>
      </c>
      <c r="C175" s="75" t="s">
        <v>6</v>
      </c>
      <c r="D175" s="75">
        <f>COUNTIF($C$2:C175,C175)</f>
        <v>42</v>
      </c>
      <c r="E175" s="1" t="s">
        <v>7</v>
      </c>
      <c r="F175" s="1" t="s">
        <v>14</v>
      </c>
      <c r="G175" s="1">
        <v>87</v>
      </c>
      <c r="H175" s="1">
        <v>92</v>
      </c>
      <c r="I175" s="1">
        <v>81</v>
      </c>
    </row>
    <row r="176" spans="1:9" x14ac:dyDescent="0.25">
      <c r="A176" s="2" t="s">
        <v>1</v>
      </c>
      <c r="B176" s="1" t="s">
        <v>11</v>
      </c>
      <c r="C176" s="75" t="s">
        <v>6</v>
      </c>
      <c r="D176" s="75">
        <f>COUNTIF($C$2:C176,C176)</f>
        <v>43</v>
      </c>
      <c r="E176" s="1" t="s">
        <v>7</v>
      </c>
      <c r="F176" s="1" t="s">
        <v>14</v>
      </c>
      <c r="G176" s="1">
        <v>66</v>
      </c>
      <c r="H176" s="1">
        <v>77</v>
      </c>
      <c r="I176" s="1">
        <v>80</v>
      </c>
    </row>
    <row r="177" spans="1:9" x14ac:dyDescent="0.25">
      <c r="A177" s="2" t="s">
        <v>1</v>
      </c>
      <c r="B177" s="1" t="s">
        <v>11</v>
      </c>
      <c r="C177" s="75" t="s">
        <v>6</v>
      </c>
      <c r="D177" s="75">
        <f>COUNTIF($C$2:C177,C177)</f>
        <v>44</v>
      </c>
      <c r="E177" s="1" t="s">
        <v>7</v>
      </c>
      <c r="F177" s="1" t="s">
        <v>14</v>
      </c>
      <c r="G177" s="1">
        <v>77</v>
      </c>
      <c r="H177" s="1">
        <v>81</v>
      </c>
      <c r="I177" s="1">
        <v>85</v>
      </c>
    </row>
    <row r="178" spans="1:9" x14ac:dyDescent="0.25">
      <c r="A178" s="2" t="s">
        <v>1</v>
      </c>
      <c r="B178" s="1" t="s">
        <v>11</v>
      </c>
      <c r="C178" s="75" t="s">
        <v>6</v>
      </c>
      <c r="D178" s="75">
        <f>COUNTIF($C$2:C178,C178)</f>
        <v>45</v>
      </c>
      <c r="E178" s="1" t="s">
        <v>7</v>
      </c>
      <c r="F178" s="1" t="s">
        <v>14</v>
      </c>
      <c r="G178" s="1">
        <v>55</v>
      </c>
      <c r="H178" s="1">
        <v>62</v>
      </c>
      <c r="I178" s="1">
        <v>61</v>
      </c>
    </row>
    <row r="179" spans="1:9" x14ac:dyDescent="0.25">
      <c r="A179" s="2" t="s">
        <v>1</v>
      </c>
      <c r="B179" s="1" t="s">
        <v>11</v>
      </c>
      <c r="C179" s="75" t="s">
        <v>6</v>
      </c>
      <c r="D179" s="75">
        <f>COUNTIF($C$2:C179,C179)</f>
        <v>46</v>
      </c>
      <c r="E179" s="1" t="s">
        <v>7</v>
      </c>
      <c r="F179" s="1" t="s">
        <v>14</v>
      </c>
      <c r="G179" s="1">
        <v>70</v>
      </c>
      <c r="H179" s="1">
        <v>63</v>
      </c>
      <c r="I179" s="1">
        <v>63</v>
      </c>
    </row>
    <row r="180" spans="1:9" x14ac:dyDescent="0.25">
      <c r="A180" s="2" t="s">
        <v>1</v>
      </c>
      <c r="B180" s="1" t="s">
        <v>11</v>
      </c>
      <c r="C180" s="75" t="s">
        <v>6</v>
      </c>
      <c r="D180" s="75">
        <f>COUNTIF($C$2:C180,C180)</f>
        <v>47</v>
      </c>
      <c r="E180" s="1" t="s">
        <v>7</v>
      </c>
      <c r="F180" s="1" t="s">
        <v>14</v>
      </c>
      <c r="G180" s="1">
        <v>72</v>
      </c>
      <c r="H180" s="1">
        <v>76</v>
      </c>
      <c r="I180" s="1">
        <v>74</v>
      </c>
    </row>
    <row r="181" spans="1:9" x14ac:dyDescent="0.25">
      <c r="A181" s="2" t="s">
        <v>1</v>
      </c>
      <c r="B181" s="1" t="s">
        <v>11</v>
      </c>
      <c r="C181" s="75" t="s">
        <v>6</v>
      </c>
      <c r="D181" s="75">
        <f>COUNTIF($C$2:C181,C181)</f>
        <v>48</v>
      </c>
      <c r="E181" s="1" t="s">
        <v>7</v>
      </c>
      <c r="F181" s="1" t="s">
        <v>14</v>
      </c>
      <c r="G181" s="1">
        <v>69</v>
      </c>
      <c r="H181" s="1">
        <v>81</v>
      </c>
      <c r="I181" s="1">
        <v>70</v>
      </c>
    </row>
    <row r="182" spans="1:9" x14ac:dyDescent="0.25">
      <c r="A182" s="2" t="s">
        <v>1</v>
      </c>
      <c r="B182" s="1" t="s">
        <v>11</v>
      </c>
      <c r="C182" s="75" t="s">
        <v>6</v>
      </c>
      <c r="D182" s="75">
        <f>COUNTIF($C$2:C182,C182)</f>
        <v>49</v>
      </c>
      <c r="E182" s="1" t="s">
        <v>7</v>
      </c>
      <c r="F182" s="1" t="s">
        <v>14</v>
      </c>
      <c r="G182" s="1">
        <v>63</v>
      </c>
      <c r="H182" s="1">
        <v>64</v>
      </c>
      <c r="I182" s="1">
        <v>59</v>
      </c>
    </row>
    <row r="183" spans="1:9" x14ac:dyDescent="0.25">
      <c r="A183" s="2" t="s">
        <v>1</v>
      </c>
      <c r="B183" s="1" t="s">
        <v>11</v>
      </c>
      <c r="C183" s="75" t="s">
        <v>6</v>
      </c>
      <c r="D183" s="75">
        <f>COUNTIF($C$2:C183,C183)</f>
        <v>50</v>
      </c>
      <c r="E183" s="1" t="s">
        <v>7</v>
      </c>
      <c r="F183" s="1" t="s">
        <v>14</v>
      </c>
      <c r="G183" s="1">
        <v>21</v>
      </c>
      <c r="H183" s="1">
        <v>30</v>
      </c>
      <c r="I183" s="1">
        <v>26</v>
      </c>
    </row>
    <row r="184" spans="1:9" x14ac:dyDescent="0.25">
      <c r="A184" s="2" t="s">
        <v>1</v>
      </c>
      <c r="B184" s="1" t="s">
        <v>11</v>
      </c>
      <c r="C184" s="75" t="s">
        <v>6</v>
      </c>
      <c r="D184" s="75">
        <f>COUNTIF($C$2:C184,C184)</f>
        <v>51</v>
      </c>
      <c r="E184" s="1" t="s">
        <v>7</v>
      </c>
      <c r="F184" s="1" t="s">
        <v>14</v>
      </c>
      <c r="G184" s="1">
        <v>54</v>
      </c>
      <c r="H184" s="1">
        <v>73</v>
      </c>
      <c r="I184" s="1">
        <v>64</v>
      </c>
    </row>
    <row r="185" spans="1:9" x14ac:dyDescent="0.25">
      <c r="A185" s="2" t="s">
        <v>1</v>
      </c>
      <c r="B185" s="1" t="s">
        <v>11</v>
      </c>
      <c r="C185" s="75" t="s">
        <v>6</v>
      </c>
      <c r="D185" s="75">
        <f>COUNTIF($C$2:C185,C185)</f>
        <v>52</v>
      </c>
      <c r="E185" s="1" t="s">
        <v>7</v>
      </c>
      <c r="F185" s="1" t="s">
        <v>14</v>
      </c>
      <c r="G185" s="1">
        <v>50</v>
      </c>
      <c r="H185" s="1">
        <v>62</v>
      </c>
      <c r="I185" s="1">
        <v>63</v>
      </c>
    </row>
    <row r="186" spans="1:9" x14ac:dyDescent="0.25">
      <c r="A186" s="2" t="s">
        <v>1</v>
      </c>
      <c r="B186" s="1" t="s">
        <v>11</v>
      </c>
      <c r="C186" s="75" t="s">
        <v>6</v>
      </c>
      <c r="D186" s="75">
        <f>COUNTIF($C$2:C186,C186)</f>
        <v>53</v>
      </c>
      <c r="E186" s="1" t="s">
        <v>7</v>
      </c>
      <c r="F186" s="1" t="s">
        <v>14</v>
      </c>
      <c r="G186" s="1">
        <v>56</v>
      </c>
      <c r="H186" s="1">
        <v>68</v>
      </c>
      <c r="I186" s="1">
        <v>66</v>
      </c>
    </row>
    <row r="187" spans="1:9" x14ac:dyDescent="0.25">
      <c r="A187" s="2" t="s">
        <v>1</v>
      </c>
      <c r="B187" s="1" t="s">
        <v>11</v>
      </c>
      <c r="C187" s="75" t="s">
        <v>6</v>
      </c>
      <c r="D187" s="75">
        <f>COUNTIF($C$2:C187,C187)</f>
        <v>54</v>
      </c>
      <c r="E187" s="1" t="s">
        <v>7</v>
      </c>
      <c r="F187" s="1" t="s">
        <v>14</v>
      </c>
      <c r="G187" s="1">
        <v>80</v>
      </c>
      <c r="H187" s="1">
        <v>84</v>
      </c>
      <c r="I187" s="1">
        <v>81</v>
      </c>
    </row>
    <row r="188" spans="1:9" x14ac:dyDescent="0.25">
      <c r="A188" s="2" t="s">
        <v>1</v>
      </c>
      <c r="B188" s="1" t="s">
        <v>11</v>
      </c>
      <c r="C188" s="75" t="s">
        <v>6</v>
      </c>
      <c r="D188" s="75">
        <f>COUNTIF($C$2:C188,C188)</f>
        <v>55</v>
      </c>
      <c r="E188" s="1" t="s">
        <v>7</v>
      </c>
      <c r="F188" s="1" t="s">
        <v>14</v>
      </c>
      <c r="G188" s="1">
        <v>61</v>
      </c>
      <c r="H188" s="1">
        <v>57</v>
      </c>
      <c r="I188" s="1">
        <v>55</v>
      </c>
    </row>
    <row r="189" spans="1:9" x14ac:dyDescent="0.25">
      <c r="A189" s="2" t="s">
        <v>1</v>
      </c>
      <c r="B189" s="1" t="s">
        <v>11</v>
      </c>
      <c r="C189" s="75" t="s">
        <v>6</v>
      </c>
      <c r="D189" s="75">
        <f>COUNTIF($C$2:C189,C189)</f>
        <v>56</v>
      </c>
      <c r="E189" s="1" t="s">
        <v>7</v>
      </c>
      <c r="F189" s="1" t="s">
        <v>14</v>
      </c>
      <c r="G189" s="1">
        <v>31</v>
      </c>
      <c r="H189" s="1">
        <v>49</v>
      </c>
      <c r="I189" s="1">
        <v>42</v>
      </c>
    </row>
    <row r="190" spans="1:9" x14ac:dyDescent="0.25">
      <c r="A190" s="2" t="s">
        <v>1</v>
      </c>
      <c r="B190" s="1" t="s">
        <v>11</v>
      </c>
      <c r="C190" s="75" t="s">
        <v>6</v>
      </c>
      <c r="D190" s="75">
        <f>COUNTIF($C$2:C190,C190)</f>
        <v>57</v>
      </c>
      <c r="E190" s="1" t="s">
        <v>7</v>
      </c>
      <c r="F190" s="1" t="s">
        <v>14</v>
      </c>
      <c r="G190" s="1">
        <v>87</v>
      </c>
      <c r="H190" s="1">
        <v>90</v>
      </c>
      <c r="I190" s="1">
        <v>85</v>
      </c>
    </row>
    <row r="191" spans="1:9" x14ac:dyDescent="0.25">
      <c r="A191" s="2" t="s">
        <v>1</v>
      </c>
      <c r="B191" s="1" t="s">
        <v>11</v>
      </c>
      <c r="C191" s="75" t="s">
        <v>6</v>
      </c>
      <c r="D191" s="75">
        <f>COUNTIF($C$2:C191,C191)</f>
        <v>58</v>
      </c>
      <c r="E191" s="1" t="s">
        <v>7</v>
      </c>
      <c r="F191" s="1" t="s">
        <v>14</v>
      </c>
      <c r="G191" s="1">
        <v>59</v>
      </c>
      <c r="H191" s="1">
        <v>63</v>
      </c>
      <c r="I191" s="1">
        <v>61</v>
      </c>
    </row>
    <row r="192" spans="1:9" x14ac:dyDescent="0.25">
      <c r="A192" s="2" t="s">
        <v>1</v>
      </c>
      <c r="B192" s="1" t="s">
        <v>11</v>
      </c>
      <c r="C192" s="75" t="s">
        <v>6</v>
      </c>
      <c r="D192" s="75">
        <f>COUNTIF($C$2:C192,C192)</f>
        <v>59</v>
      </c>
      <c r="E192" s="1" t="s">
        <v>7</v>
      </c>
      <c r="F192" s="1" t="s">
        <v>14</v>
      </c>
      <c r="G192" s="1">
        <v>71</v>
      </c>
      <c r="H192" s="1">
        <v>72</v>
      </c>
      <c r="I192" s="1">
        <v>69</v>
      </c>
    </row>
    <row r="193" spans="1:9" x14ac:dyDescent="0.25">
      <c r="A193" s="2" t="s">
        <v>1</v>
      </c>
      <c r="B193" s="1" t="s">
        <v>11</v>
      </c>
      <c r="C193" s="75" t="s">
        <v>6</v>
      </c>
      <c r="D193" s="75">
        <f>COUNTIF($C$2:C193,C193)</f>
        <v>60</v>
      </c>
      <c r="E193" s="1" t="s">
        <v>7</v>
      </c>
      <c r="F193" s="1" t="s">
        <v>14</v>
      </c>
      <c r="G193" s="1">
        <v>59</v>
      </c>
      <c r="H193" s="1">
        <v>66</v>
      </c>
      <c r="I193" s="1">
        <v>69</v>
      </c>
    </row>
    <row r="194" spans="1:9" x14ac:dyDescent="0.25">
      <c r="A194" s="2" t="s">
        <v>1</v>
      </c>
      <c r="B194" s="1" t="s">
        <v>11</v>
      </c>
      <c r="C194" s="75" t="s">
        <v>6</v>
      </c>
      <c r="D194" s="75">
        <f>COUNTIF($C$2:C194,C194)</f>
        <v>61</v>
      </c>
      <c r="E194" s="1" t="s">
        <v>7</v>
      </c>
      <c r="F194" s="1" t="s">
        <v>15</v>
      </c>
      <c r="G194" s="1">
        <v>63</v>
      </c>
      <c r="H194" s="1">
        <v>73</v>
      </c>
      <c r="I194" s="1">
        <v>74</v>
      </c>
    </row>
    <row r="195" spans="1:9" x14ac:dyDescent="0.25">
      <c r="A195" s="2" t="s">
        <v>1</v>
      </c>
      <c r="B195" s="1" t="s">
        <v>11</v>
      </c>
      <c r="C195" s="75" t="s">
        <v>6</v>
      </c>
      <c r="D195" s="75">
        <f>COUNTIF($C$2:C195,C195)</f>
        <v>62</v>
      </c>
      <c r="E195" s="1" t="s">
        <v>7</v>
      </c>
      <c r="F195" s="1" t="s">
        <v>15</v>
      </c>
      <c r="G195" s="1">
        <v>49</v>
      </c>
      <c r="H195" s="1">
        <v>68</v>
      </c>
      <c r="I195" s="1">
        <v>67</v>
      </c>
    </row>
    <row r="196" spans="1:9" x14ac:dyDescent="0.25">
      <c r="A196" s="2" t="s">
        <v>1</v>
      </c>
      <c r="B196" s="1" t="s">
        <v>11</v>
      </c>
      <c r="C196" s="75" t="s">
        <v>6</v>
      </c>
      <c r="D196" s="75">
        <f>COUNTIF($C$2:C196,C196)</f>
        <v>63</v>
      </c>
      <c r="E196" s="1" t="s">
        <v>7</v>
      </c>
      <c r="F196" s="1" t="s">
        <v>15</v>
      </c>
      <c r="G196" s="1">
        <v>80</v>
      </c>
      <c r="H196" s="1">
        <v>83</v>
      </c>
      <c r="I196" s="1">
        <v>86</v>
      </c>
    </row>
    <row r="197" spans="1:9" x14ac:dyDescent="0.25">
      <c r="A197" s="2" t="s">
        <v>1</v>
      </c>
      <c r="B197" s="1" t="s">
        <v>11</v>
      </c>
      <c r="C197" s="75" t="s">
        <v>6</v>
      </c>
      <c r="D197" s="75">
        <f>COUNTIF($C$2:C197,C197)</f>
        <v>64</v>
      </c>
      <c r="E197" s="1" t="s">
        <v>7</v>
      </c>
      <c r="F197" s="1" t="s">
        <v>15</v>
      </c>
      <c r="G197" s="1">
        <v>55</v>
      </c>
      <c r="H197" s="1">
        <v>72</v>
      </c>
      <c r="I197" s="1">
        <v>70</v>
      </c>
    </row>
    <row r="198" spans="1:9" x14ac:dyDescent="0.25">
      <c r="A198" s="2" t="s">
        <v>1</v>
      </c>
      <c r="B198" s="1" t="s">
        <v>11</v>
      </c>
      <c r="C198" s="75" t="s">
        <v>6</v>
      </c>
      <c r="D198" s="75">
        <f>COUNTIF($C$2:C198,C198)</f>
        <v>65</v>
      </c>
      <c r="E198" s="1" t="s">
        <v>7</v>
      </c>
      <c r="F198" s="1" t="s">
        <v>15</v>
      </c>
      <c r="G198" s="1">
        <v>44</v>
      </c>
      <c r="H198" s="1">
        <v>69</v>
      </c>
      <c r="I198" s="1">
        <v>68</v>
      </c>
    </row>
    <row r="199" spans="1:9" x14ac:dyDescent="0.25">
      <c r="A199" s="2" t="s">
        <v>1</v>
      </c>
      <c r="B199" s="1" t="s">
        <v>11</v>
      </c>
      <c r="C199" s="75" t="s">
        <v>6</v>
      </c>
      <c r="D199" s="75">
        <f>COUNTIF($C$2:C199,C199)</f>
        <v>66</v>
      </c>
      <c r="E199" s="1" t="s">
        <v>73</v>
      </c>
      <c r="F199" s="1" t="s">
        <v>14</v>
      </c>
      <c r="G199" s="1">
        <v>56</v>
      </c>
      <c r="H199" s="1">
        <v>62</v>
      </c>
      <c r="I199" s="1">
        <v>57</v>
      </c>
    </row>
    <row r="200" spans="1:9" x14ac:dyDescent="0.25">
      <c r="A200" s="2" t="s">
        <v>1</v>
      </c>
      <c r="B200" s="1" t="s">
        <v>11</v>
      </c>
      <c r="C200" s="75" t="s">
        <v>6</v>
      </c>
      <c r="D200" s="75">
        <f>COUNTIF($C$2:C200,C200)</f>
        <v>67</v>
      </c>
      <c r="E200" s="1" t="s">
        <v>73</v>
      </c>
      <c r="F200" s="1" t="s">
        <v>14</v>
      </c>
      <c r="G200" s="1">
        <v>76</v>
      </c>
      <c r="H200" s="1">
        <v>90</v>
      </c>
      <c r="I200" s="1">
        <v>84</v>
      </c>
    </row>
    <row r="201" spans="1:9" x14ac:dyDescent="0.25">
      <c r="A201" s="2" t="s">
        <v>1</v>
      </c>
      <c r="B201" s="1" t="s">
        <v>11</v>
      </c>
      <c r="C201" s="75" t="s">
        <v>6</v>
      </c>
      <c r="D201" s="75">
        <f>COUNTIF($C$2:C201,C201)</f>
        <v>68</v>
      </c>
      <c r="E201" s="1" t="s">
        <v>73</v>
      </c>
      <c r="F201" s="1" t="s">
        <v>14</v>
      </c>
      <c r="G201" s="1">
        <v>51</v>
      </c>
      <c r="H201" s="1">
        <v>68</v>
      </c>
      <c r="I201" s="1">
        <v>66</v>
      </c>
    </row>
    <row r="202" spans="1:9" x14ac:dyDescent="0.25">
      <c r="A202" s="2" t="s">
        <v>1</v>
      </c>
      <c r="B202" s="1" t="s">
        <v>11</v>
      </c>
      <c r="C202" s="75" t="s">
        <v>6</v>
      </c>
      <c r="D202" s="75">
        <f>COUNTIF($C$2:C202,C202)</f>
        <v>69</v>
      </c>
      <c r="E202" s="1" t="s">
        <v>73</v>
      </c>
      <c r="F202" s="1" t="s">
        <v>14</v>
      </c>
      <c r="G202" s="1">
        <v>39</v>
      </c>
      <c r="H202" s="1">
        <v>50</v>
      </c>
      <c r="I202" s="1">
        <v>41</v>
      </c>
    </row>
    <row r="203" spans="1:9" x14ac:dyDescent="0.25">
      <c r="A203" s="2" t="s">
        <v>1</v>
      </c>
      <c r="B203" s="1" t="s">
        <v>11</v>
      </c>
      <c r="C203" s="75" t="s">
        <v>6</v>
      </c>
      <c r="D203" s="75">
        <f>COUNTIF($C$2:C203,C203)</f>
        <v>70</v>
      </c>
      <c r="E203" s="1" t="s">
        <v>73</v>
      </c>
      <c r="F203" s="1" t="s">
        <v>14</v>
      </c>
      <c r="G203" s="1">
        <v>24</v>
      </c>
      <c r="H203" s="1">
        <v>48</v>
      </c>
      <c r="I203" s="1">
        <v>46</v>
      </c>
    </row>
    <row r="204" spans="1:9" x14ac:dyDescent="0.25">
      <c r="A204" s="2" t="s">
        <v>1</v>
      </c>
      <c r="B204" s="1" t="s">
        <v>11</v>
      </c>
      <c r="C204" s="75" t="s">
        <v>6</v>
      </c>
      <c r="D204" s="75">
        <f>COUNTIF($C$2:C204,C204)</f>
        <v>71</v>
      </c>
      <c r="E204" s="1" t="s">
        <v>73</v>
      </c>
      <c r="F204" s="1" t="s">
        <v>14</v>
      </c>
      <c r="G204" s="1">
        <v>48</v>
      </c>
      <c r="H204" s="1">
        <v>60</v>
      </c>
      <c r="I204" s="1">
        <v>55</v>
      </c>
    </row>
    <row r="205" spans="1:9" x14ac:dyDescent="0.25">
      <c r="A205" s="2" t="s">
        <v>1</v>
      </c>
      <c r="B205" s="1" t="s">
        <v>11</v>
      </c>
      <c r="C205" s="75" t="s">
        <v>6</v>
      </c>
      <c r="D205" s="75">
        <f>COUNTIF($C$2:C205,C205)</f>
        <v>72</v>
      </c>
      <c r="E205" s="1" t="s">
        <v>73</v>
      </c>
      <c r="F205" s="1" t="s">
        <v>15</v>
      </c>
      <c r="G205" s="1">
        <v>66</v>
      </c>
      <c r="H205" s="1">
        <v>81</v>
      </c>
      <c r="I205" s="1">
        <v>75</v>
      </c>
    </row>
    <row r="206" spans="1:9" x14ac:dyDescent="0.25">
      <c r="A206" s="2" t="s">
        <v>1</v>
      </c>
      <c r="B206" s="1" t="s">
        <v>11</v>
      </c>
      <c r="C206" s="75" t="s">
        <v>6</v>
      </c>
      <c r="D206" s="75">
        <f>COUNTIF($C$2:C206,C206)</f>
        <v>73</v>
      </c>
      <c r="E206" s="1" t="s">
        <v>73</v>
      </c>
      <c r="F206" s="1" t="s">
        <v>15</v>
      </c>
      <c r="G206" s="1">
        <v>34</v>
      </c>
      <c r="H206" s="1">
        <v>66</v>
      </c>
      <c r="I206" s="1">
        <v>59</v>
      </c>
    </row>
    <row r="207" spans="1:9" x14ac:dyDescent="0.25">
      <c r="A207" s="2" t="s">
        <v>1</v>
      </c>
      <c r="B207" s="1" t="s">
        <v>11</v>
      </c>
      <c r="C207" s="75" t="s">
        <v>6</v>
      </c>
      <c r="D207" s="75">
        <f>COUNTIF($C$2:C207,C207)</f>
        <v>74</v>
      </c>
      <c r="E207" s="1" t="s">
        <v>73</v>
      </c>
      <c r="F207" s="1" t="s">
        <v>15</v>
      </c>
      <c r="G207" s="1">
        <v>54</v>
      </c>
      <c r="H207" s="1">
        <v>68</v>
      </c>
      <c r="I207" s="1">
        <v>69</v>
      </c>
    </row>
    <row r="208" spans="1:9" x14ac:dyDescent="0.25">
      <c r="A208" s="2" t="s">
        <v>1</v>
      </c>
      <c r="B208" s="1" t="s">
        <v>11</v>
      </c>
      <c r="C208" s="75" t="s">
        <v>6</v>
      </c>
      <c r="D208" s="75">
        <f>COUNTIF($C$2:C208,C208)</f>
        <v>75</v>
      </c>
      <c r="E208" s="1" t="s">
        <v>73</v>
      </c>
      <c r="F208" s="1" t="s">
        <v>15</v>
      </c>
      <c r="G208" s="1">
        <v>54</v>
      </c>
      <c r="H208" s="1">
        <v>72</v>
      </c>
      <c r="I208" s="1">
        <v>68</v>
      </c>
    </row>
    <row r="209" spans="1:9" x14ac:dyDescent="0.25">
      <c r="A209" s="2" t="s">
        <v>1</v>
      </c>
      <c r="B209" s="1" t="s">
        <v>11</v>
      </c>
      <c r="C209" s="76" t="s">
        <v>54</v>
      </c>
      <c r="D209" s="76">
        <f>COUNTIF($C$2:C209,C209)</f>
        <v>35</v>
      </c>
      <c r="E209" s="1" t="s">
        <v>7</v>
      </c>
      <c r="F209" s="1" t="s">
        <v>14</v>
      </c>
      <c r="G209" s="1">
        <v>55</v>
      </c>
      <c r="H209" s="1">
        <v>68</v>
      </c>
      <c r="I209" s="1">
        <v>73</v>
      </c>
    </row>
    <row r="210" spans="1:9" x14ac:dyDescent="0.25">
      <c r="A210" s="2" t="s">
        <v>1</v>
      </c>
      <c r="B210" s="1" t="s">
        <v>11</v>
      </c>
      <c r="C210" s="76" t="s">
        <v>54</v>
      </c>
      <c r="D210" s="76">
        <f>COUNTIF($C$2:C210,C210)</f>
        <v>36</v>
      </c>
      <c r="E210" s="1" t="s">
        <v>7</v>
      </c>
      <c r="F210" s="1" t="s">
        <v>14</v>
      </c>
      <c r="G210" s="1">
        <v>69</v>
      </c>
      <c r="H210" s="1">
        <v>75</v>
      </c>
      <c r="I210" s="1">
        <v>75</v>
      </c>
    </row>
    <row r="211" spans="1:9" x14ac:dyDescent="0.25">
      <c r="A211" s="2" t="s">
        <v>1</v>
      </c>
      <c r="B211" s="1" t="s">
        <v>11</v>
      </c>
      <c r="C211" s="76" t="s">
        <v>54</v>
      </c>
      <c r="D211" s="76">
        <f>COUNTIF($C$2:C211,C211)</f>
        <v>37</v>
      </c>
      <c r="E211" s="1" t="s">
        <v>7</v>
      </c>
      <c r="F211" s="1" t="s">
        <v>14</v>
      </c>
      <c r="G211" s="1">
        <v>44</v>
      </c>
      <c r="H211" s="1">
        <v>49</v>
      </c>
      <c r="I211" s="1">
        <v>53</v>
      </c>
    </row>
    <row r="212" spans="1:9" x14ac:dyDescent="0.25">
      <c r="A212" s="2" t="s">
        <v>1</v>
      </c>
      <c r="B212" s="1" t="s">
        <v>11</v>
      </c>
      <c r="C212" s="76" t="s">
        <v>54</v>
      </c>
      <c r="D212" s="76">
        <f>COUNTIF($C$2:C212,C212)</f>
        <v>38</v>
      </c>
      <c r="E212" s="1" t="s">
        <v>7</v>
      </c>
      <c r="F212" s="1" t="s">
        <v>14</v>
      </c>
      <c r="G212" s="1">
        <v>78</v>
      </c>
      <c r="H212" s="1">
        <v>78</v>
      </c>
      <c r="I212" s="1">
        <v>82</v>
      </c>
    </row>
    <row r="213" spans="1:9" x14ac:dyDescent="0.25">
      <c r="A213" s="2" t="s">
        <v>1</v>
      </c>
      <c r="B213" s="1" t="s">
        <v>11</v>
      </c>
      <c r="C213" s="76" t="s">
        <v>54</v>
      </c>
      <c r="D213" s="76">
        <f>COUNTIF($C$2:C213,C213)</f>
        <v>39</v>
      </c>
      <c r="E213" s="1" t="s">
        <v>7</v>
      </c>
      <c r="F213" s="1" t="s">
        <v>14</v>
      </c>
      <c r="G213" s="1">
        <v>72</v>
      </c>
      <c r="H213" s="1">
        <v>77</v>
      </c>
      <c r="I213" s="1">
        <v>75</v>
      </c>
    </row>
    <row r="214" spans="1:9" x14ac:dyDescent="0.25">
      <c r="A214" s="2" t="s">
        <v>1</v>
      </c>
      <c r="B214" s="1" t="s">
        <v>11</v>
      </c>
      <c r="C214" s="76" t="s">
        <v>54</v>
      </c>
      <c r="D214" s="76">
        <f>COUNTIF($C$2:C214,C214)</f>
        <v>40</v>
      </c>
      <c r="E214" s="1" t="s">
        <v>7</v>
      </c>
      <c r="F214" s="1" t="s">
        <v>14</v>
      </c>
      <c r="G214" s="1">
        <v>56</v>
      </c>
      <c r="H214" s="1">
        <v>71</v>
      </c>
      <c r="I214" s="1">
        <v>70</v>
      </c>
    </row>
    <row r="215" spans="1:9" x14ac:dyDescent="0.25">
      <c r="A215" s="2" t="s">
        <v>1</v>
      </c>
      <c r="B215" s="1" t="s">
        <v>11</v>
      </c>
      <c r="C215" s="76" t="s">
        <v>54</v>
      </c>
      <c r="D215" s="76">
        <f>COUNTIF($C$2:C215,C215)</f>
        <v>41</v>
      </c>
      <c r="E215" s="1" t="s">
        <v>7</v>
      </c>
      <c r="F215" s="1" t="s">
        <v>14</v>
      </c>
      <c r="G215" s="1">
        <v>57</v>
      </c>
      <c r="H215" s="1">
        <v>67</v>
      </c>
      <c r="I215" s="1">
        <v>64</v>
      </c>
    </row>
    <row r="216" spans="1:9" x14ac:dyDescent="0.25">
      <c r="A216" s="2" t="s">
        <v>1</v>
      </c>
      <c r="B216" s="1" t="s">
        <v>11</v>
      </c>
      <c r="C216" s="76" t="s">
        <v>54</v>
      </c>
      <c r="D216" s="76">
        <f>COUNTIF($C$2:C216,C216)</f>
        <v>42</v>
      </c>
      <c r="E216" s="1" t="s">
        <v>7</v>
      </c>
      <c r="F216" s="1" t="s">
        <v>14</v>
      </c>
      <c r="G216" s="1">
        <v>82</v>
      </c>
      <c r="H216" s="1">
        <v>91</v>
      </c>
      <c r="I216" s="1">
        <v>85</v>
      </c>
    </row>
    <row r="217" spans="1:9" x14ac:dyDescent="0.25">
      <c r="A217" s="2" t="s">
        <v>1</v>
      </c>
      <c r="B217" s="1" t="s">
        <v>11</v>
      </c>
      <c r="C217" s="76" t="s">
        <v>54</v>
      </c>
      <c r="D217" s="76">
        <f>COUNTIF($C$2:C217,C217)</f>
        <v>43</v>
      </c>
      <c r="E217" s="1" t="s">
        <v>7</v>
      </c>
      <c r="F217" s="1" t="s">
        <v>14</v>
      </c>
      <c r="G217" s="1">
        <v>60</v>
      </c>
      <c r="H217" s="1">
        <v>75</v>
      </c>
      <c r="I217" s="1">
        <v>72</v>
      </c>
    </row>
    <row r="218" spans="1:9" x14ac:dyDescent="0.25">
      <c r="A218" s="2" t="s">
        <v>1</v>
      </c>
      <c r="B218" s="1" t="s">
        <v>11</v>
      </c>
      <c r="C218" s="76" t="s">
        <v>54</v>
      </c>
      <c r="D218" s="76">
        <f>COUNTIF($C$2:C218,C218)</f>
        <v>44</v>
      </c>
      <c r="E218" s="1" t="s">
        <v>7</v>
      </c>
      <c r="F218" s="1" t="s">
        <v>14</v>
      </c>
      <c r="G218" s="1">
        <v>69</v>
      </c>
      <c r="H218" s="1">
        <v>82</v>
      </c>
      <c r="I218" s="1">
        <v>78</v>
      </c>
    </row>
    <row r="219" spans="1:9" x14ac:dyDescent="0.25">
      <c r="A219" s="2" t="s">
        <v>1</v>
      </c>
      <c r="B219" s="1" t="s">
        <v>11</v>
      </c>
      <c r="C219" s="76" t="s">
        <v>54</v>
      </c>
      <c r="D219" s="76">
        <f>COUNTIF($C$2:C219,C219)</f>
        <v>45</v>
      </c>
      <c r="E219" s="1" t="s">
        <v>7</v>
      </c>
      <c r="F219" s="1" t="s">
        <v>14</v>
      </c>
      <c r="G219" s="1">
        <v>72</v>
      </c>
      <c r="H219" s="1">
        <v>69</v>
      </c>
      <c r="I219" s="1">
        <v>70</v>
      </c>
    </row>
    <row r="220" spans="1:9" x14ac:dyDescent="0.25">
      <c r="A220" s="2" t="s">
        <v>1</v>
      </c>
      <c r="B220" s="1" t="s">
        <v>11</v>
      </c>
      <c r="C220" s="76" t="s">
        <v>54</v>
      </c>
      <c r="D220" s="76">
        <f>COUNTIF($C$2:C220,C220)</f>
        <v>46</v>
      </c>
      <c r="E220" s="1" t="s">
        <v>7</v>
      </c>
      <c r="F220" s="1" t="s">
        <v>14</v>
      </c>
      <c r="G220" s="1">
        <v>81</v>
      </c>
      <c r="H220" s="1">
        <v>96</v>
      </c>
      <c r="I220" s="1">
        <v>93</v>
      </c>
    </row>
    <row r="221" spans="1:9" x14ac:dyDescent="0.25">
      <c r="A221" s="2" t="s">
        <v>1</v>
      </c>
      <c r="B221" s="1" t="s">
        <v>11</v>
      </c>
      <c r="C221" s="76" t="s">
        <v>54</v>
      </c>
      <c r="D221" s="76">
        <f>COUNTIF($C$2:C221,C221)</f>
        <v>47</v>
      </c>
      <c r="E221" s="1" t="s">
        <v>7</v>
      </c>
      <c r="F221" s="1" t="s">
        <v>14</v>
      </c>
      <c r="G221" s="1">
        <v>65</v>
      </c>
      <c r="H221" s="1">
        <v>85</v>
      </c>
      <c r="I221" s="1">
        <v>80</v>
      </c>
    </row>
    <row r="222" spans="1:9" x14ac:dyDescent="0.25">
      <c r="A222" s="2" t="s">
        <v>1</v>
      </c>
      <c r="B222" s="1" t="s">
        <v>11</v>
      </c>
      <c r="C222" s="76" t="s">
        <v>54</v>
      </c>
      <c r="D222" s="76">
        <f>COUNTIF($C$2:C222,C222)</f>
        <v>48</v>
      </c>
      <c r="E222" s="1" t="s">
        <v>7</v>
      </c>
      <c r="F222" s="1" t="s">
        <v>15</v>
      </c>
      <c r="G222" s="1">
        <v>91</v>
      </c>
      <c r="H222" s="1">
        <v>96</v>
      </c>
      <c r="I222" s="1">
        <v>97</v>
      </c>
    </row>
    <row r="223" spans="1:9" x14ac:dyDescent="0.25">
      <c r="A223" s="2" t="s">
        <v>1</v>
      </c>
      <c r="B223" s="1" t="s">
        <v>11</v>
      </c>
      <c r="C223" s="76" t="s">
        <v>54</v>
      </c>
      <c r="D223" s="76">
        <f>COUNTIF($C$2:C223,C223)</f>
        <v>49</v>
      </c>
      <c r="E223" s="1" t="s">
        <v>7</v>
      </c>
      <c r="F223" s="1" t="s">
        <v>15</v>
      </c>
      <c r="G223" s="1">
        <v>71</v>
      </c>
      <c r="H223" s="1">
        <v>84</v>
      </c>
      <c r="I223" s="1">
        <v>88</v>
      </c>
    </row>
    <row r="224" spans="1:9" x14ac:dyDescent="0.25">
      <c r="A224" s="2" t="s">
        <v>1</v>
      </c>
      <c r="B224" s="1" t="s">
        <v>11</v>
      </c>
      <c r="C224" s="76" t="s">
        <v>54</v>
      </c>
      <c r="D224" s="76">
        <f>COUNTIF($C$2:C224,C224)</f>
        <v>50</v>
      </c>
      <c r="E224" s="1" t="s">
        <v>7</v>
      </c>
      <c r="F224" s="1" t="s">
        <v>15</v>
      </c>
      <c r="G224" s="1">
        <v>77</v>
      </c>
      <c r="H224" s="1">
        <v>90</v>
      </c>
      <c r="I224" s="1">
        <v>97</v>
      </c>
    </row>
    <row r="225" spans="1:9" x14ac:dyDescent="0.25">
      <c r="A225" s="2" t="s">
        <v>1</v>
      </c>
      <c r="B225" s="1" t="s">
        <v>11</v>
      </c>
      <c r="C225" s="76" t="s">
        <v>54</v>
      </c>
      <c r="D225" s="76">
        <f>COUNTIF($C$2:C225,C225)</f>
        <v>51</v>
      </c>
      <c r="E225" s="1" t="s">
        <v>7</v>
      </c>
      <c r="F225" s="1" t="s">
        <v>15</v>
      </c>
      <c r="G225" s="1">
        <v>75</v>
      </c>
      <c r="H225" s="1">
        <v>74</v>
      </c>
      <c r="I225" s="1">
        <v>80</v>
      </c>
    </row>
    <row r="226" spans="1:9" x14ac:dyDescent="0.25">
      <c r="A226" s="2" t="s">
        <v>1</v>
      </c>
      <c r="B226" s="1" t="s">
        <v>11</v>
      </c>
      <c r="C226" s="76" t="s">
        <v>54</v>
      </c>
      <c r="D226" s="76">
        <f>COUNTIF($C$2:C226,C226)</f>
        <v>52</v>
      </c>
      <c r="E226" s="1" t="s">
        <v>7</v>
      </c>
      <c r="F226" s="1" t="s">
        <v>15</v>
      </c>
      <c r="G226" s="1">
        <v>89</v>
      </c>
      <c r="H226" s="1">
        <v>86</v>
      </c>
      <c r="I226" s="1">
        <v>92</v>
      </c>
    </row>
    <row r="227" spans="1:9" x14ac:dyDescent="0.25">
      <c r="A227" s="2" t="s">
        <v>1</v>
      </c>
      <c r="B227" s="1" t="s">
        <v>11</v>
      </c>
      <c r="C227" s="76" t="s">
        <v>54</v>
      </c>
      <c r="D227" s="76">
        <f>COUNTIF($C$2:C227,C227)</f>
        <v>53</v>
      </c>
      <c r="E227" s="1" t="s">
        <v>73</v>
      </c>
      <c r="F227" s="1" t="s">
        <v>14</v>
      </c>
      <c r="G227" s="1">
        <v>52</v>
      </c>
      <c r="H227" s="1">
        <v>65</v>
      </c>
      <c r="I227" s="1">
        <v>60</v>
      </c>
    </row>
    <row r="228" spans="1:9" x14ac:dyDescent="0.25">
      <c r="A228" s="2" t="s">
        <v>1</v>
      </c>
      <c r="B228" s="1" t="s">
        <v>11</v>
      </c>
      <c r="C228" s="76" t="s">
        <v>54</v>
      </c>
      <c r="D228" s="76">
        <f>COUNTIF($C$2:C228,C228)</f>
        <v>54</v>
      </c>
      <c r="E228" s="1" t="s">
        <v>73</v>
      </c>
      <c r="F228" s="1" t="s">
        <v>14</v>
      </c>
      <c r="G228" s="1">
        <v>44</v>
      </c>
      <c r="H228" s="1">
        <v>55</v>
      </c>
      <c r="I228" s="1">
        <v>61</v>
      </c>
    </row>
    <row r="229" spans="1:9" x14ac:dyDescent="0.25">
      <c r="A229" s="2" t="s">
        <v>1</v>
      </c>
      <c r="B229" s="1" t="s">
        <v>11</v>
      </c>
      <c r="C229" s="76" t="s">
        <v>54</v>
      </c>
      <c r="D229" s="76">
        <f>COUNTIF($C$2:C229,C229)</f>
        <v>55</v>
      </c>
      <c r="E229" s="1" t="s">
        <v>73</v>
      </c>
      <c r="F229" s="1" t="s">
        <v>14</v>
      </c>
      <c r="G229" s="1">
        <v>66</v>
      </c>
      <c r="H229" s="1">
        <v>73</v>
      </c>
      <c r="I229" s="1">
        <v>69</v>
      </c>
    </row>
    <row r="230" spans="1:9" x14ac:dyDescent="0.25">
      <c r="A230" s="2" t="s">
        <v>1</v>
      </c>
      <c r="B230" s="1" t="s">
        <v>11</v>
      </c>
      <c r="C230" s="76" t="s">
        <v>54</v>
      </c>
      <c r="D230" s="76">
        <f>COUNTIF($C$2:C230,C230)</f>
        <v>56</v>
      </c>
      <c r="E230" s="1" t="s">
        <v>73</v>
      </c>
      <c r="F230" s="1" t="s">
        <v>14</v>
      </c>
      <c r="G230" s="1">
        <v>28</v>
      </c>
      <c r="H230" s="1">
        <v>32</v>
      </c>
      <c r="I230" s="1">
        <v>28</v>
      </c>
    </row>
    <row r="231" spans="1:9" x14ac:dyDescent="0.25">
      <c r="A231" s="2" t="s">
        <v>1</v>
      </c>
      <c r="B231" s="1" t="s">
        <v>11</v>
      </c>
      <c r="C231" s="76" t="s">
        <v>54</v>
      </c>
      <c r="D231" s="76">
        <f>COUNTIF($C$2:C231,C231)</f>
        <v>57</v>
      </c>
      <c r="E231" s="1" t="s">
        <v>73</v>
      </c>
      <c r="F231" s="1" t="s">
        <v>14</v>
      </c>
      <c r="G231" s="1">
        <v>35</v>
      </c>
      <c r="H231" s="1">
        <v>40</v>
      </c>
      <c r="I231" s="1">
        <v>45</v>
      </c>
    </row>
    <row r="232" spans="1:9" x14ac:dyDescent="0.25">
      <c r="A232" s="2" t="s">
        <v>1</v>
      </c>
      <c r="B232" s="1" t="s">
        <v>11</v>
      </c>
      <c r="C232" s="76" t="s">
        <v>54</v>
      </c>
      <c r="D232" s="76">
        <f>COUNTIF($C$2:C232,C232)</f>
        <v>58</v>
      </c>
      <c r="E232" s="1" t="s">
        <v>73</v>
      </c>
      <c r="F232" s="1" t="s">
        <v>14</v>
      </c>
      <c r="G232" s="1">
        <v>65</v>
      </c>
      <c r="H232" s="1">
        <v>66</v>
      </c>
      <c r="I232" s="1">
        <v>66</v>
      </c>
    </row>
    <row r="233" spans="1:9" x14ac:dyDescent="0.25">
      <c r="A233" s="2" t="s">
        <v>1</v>
      </c>
      <c r="B233" s="1" t="s">
        <v>11</v>
      </c>
      <c r="C233" s="76" t="s">
        <v>54</v>
      </c>
      <c r="D233" s="76">
        <f>COUNTIF($C$2:C233,C233)</f>
        <v>59</v>
      </c>
      <c r="E233" s="1" t="s">
        <v>73</v>
      </c>
      <c r="F233" s="1" t="s">
        <v>15</v>
      </c>
      <c r="G233" s="1">
        <v>68</v>
      </c>
      <c r="H233" s="1">
        <v>84</v>
      </c>
      <c r="I233" s="1">
        <v>87</v>
      </c>
    </row>
    <row r="234" spans="1:9" x14ac:dyDescent="0.25">
      <c r="A234" s="2" t="s">
        <v>1</v>
      </c>
      <c r="B234" s="1" t="s">
        <v>11</v>
      </c>
      <c r="C234" s="76" t="s">
        <v>54</v>
      </c>
      <c r="D234" s="76">
        <f>COUNTIF($C$2:C234,C234)</f>
        <v>60</v>
      </c>
      <c r="E234" s="1" t="s">
        <v>73</v>
      </c>
      <c r="F234" s="1" t="s">
        <v>15</v>
      </c>
      <c r="G234" s="1">
        <v>89</v>
      </c>
      <c r="H234" s="1">
        <v>98</v>
      </c>
      <c r="I234" s="1">
        <v>99</v>
      </c>
    </row>
    <row r="235" spans="1:9" x14ac:dyDescent="0.25">
      <c r="A235" s="2" t="s">
        <v>1</v>
      </c>
      <c r="B235" s="1" t="s">
        <v>11</v>
      </c>
      <c r="C235" s="76" t="s">
        <v>54</v>
      </c>
      <c r="D235" s="76">
        <f>COUNTIF($C$2:C235,C235)</f>
        <v>61</v>
      </c>
      <c r="E235" s="1" t="s">
        <v>73</v>
      </c>
      <c r="F235" s="1" t="s">
        <v>15</v>
      </c>
      <c r="G235" s="1">
        <v>52</v>
      </c>
      <c r="H235" s="1">
        <v>64</v>
      </c>
      <c r="I235" s="1">
        <v>66</v>
      </c>
    </row>
    <row r="236" spans="1:9" x14ac:dyDescent="0.25">
      <c r="A236" s="2" t="s">
        <v>1</v>
      </c>
      <c r="B236" s="1" t="s">
        <v>11</v>
      </c>
      <c r="C236" s="76" t="s">
        <v>54</v>
      </c>
      <c r="D236" s="76">
        <f>COUNTIF($C$2:C236,C236)</f>
        <v>62</v>
      </c>
      <c r="E236" s="1" t="s">
        <v>73</v>
      </c>
      <c r="F236" s="1" t="s">
        <v>15</v>
      </c>
      <c r="G236" s="1">
        <v>79</v>
      </c>
      <c r="H236" s="1">
        <v>89</v>
      </c>
      <c r="I236" s="1">
        <v>96</v>
      </c>
    </row>
    <row r="237" spans="1:9" x14ac:dyDescent="0.25">
      <c r="A237" s="2" t="s">
        <v>1</v>
      </c>
      <c r="B237" s="1" t="s">
        <v>11</v>
      </c>
      <c r="C237" s="76" t="s">
        <v>54</v>
      </c>
      <c r="D237" s="76">
        <f>COUNTIF($C$2:C237,C237)</f>
        <v>63</v>
      </c>
      <c r="E237" s="1" t="s">
        <v>73</v>
      </c>
      <c r="F237" s="1" t="s">
        <v>15</v>
      </c>
      <c r="G237" s="1">
        <v>69</v>
      </c>
      <c r="H237" s="1">
        <v>76</v>
      </c>
      <c r="I237" s="1">
        <v>82</v>
      </c>
    </row>
    <row r="238" spans="1:9" x14ac:dyDescent="0.25">
      <c r="A238" s="2" t="s">
        <v>1</v>
      </c>
      <c r="B238" s="1" t="s">
        <v>11</v>
      </c>
      <c r="C238" s="76" t="s">
        <v>54</v>
      </c>
      <c r="D238" s="76">
        <f>COUNTIF($C$2:C238,C238)</f>
        <v>64</v>
      </c>
      <c r="E238" s="1" t="s">
        <v>73</v>
      </c>
      <c r="F238" s="1" t="s">
        <v>15</v>
      </c>
      <c r="G238" s="1">
        <v>79</v>
      </c>
      <c r="H238" s="1">
        <v>92</v>
      </c>
      <c r="I238" s="1">
        <v>97</v>
      </c>
    </row>
    <row r="239" spans="1:9" x14ac:dyDescent="0.25">
      <c r="A239" s="2" t="s">
        <v>1</v>
      </c>
      <c r="B239" s="1" t="s">
        <v>11</v>
      </c>
      <c r="C239" s="76" t="s">
        <v>54</v>
      </c>
      <c r="D239" s="76">
        <f>COUNTIF($C$2:C239,C239)</f>
        <v>65</v>
      </c>
      <c r="E239" s="1" t="s">
        <v>73</v>
      </c>
      <c r="F239" s="1" t="s">
        <v>15</v>
      </c>
      <c r="G239" s="1">
        <v>42</v>
      </c>
      <c r="H239" s="1">
        <v>50</v>
      </c>
      <c r="I239" s="1">
        <v>61</v>
      </c>
    </row>
    <row r="240" spans="1:9" x14ac:dyDescent="0.25">
      <c r="A240" s="2" t="s">
        <v>1</v>
      </c>
      <c r="B240" s="1" t="s">
        <v>11</v>
      </c>
      <c r="C240" s="77" t="s">
        <v>42</v>
      </c>
      <c r="D240" s="77">
        <f>COUNTIF($C$2:C240,C240)</f>
        <v>28</v>
      </c>
      <c r="E240" s="1" t="s">
        <v>7</v>
      </c>
      <c r="F240" s="1" t="s">
        <v>14</v>
      </c>
      <c r="G240" s="1">
        <v>62</v>
      </c>
      <c r="H240" s="1">
        <v>64</v>
      </c>
      <c r="I240" s="1">
        <v>61</v>
      </c>
    </row>
    <row r="241" spans="1:9" x14ac:dyDescent="0.25">
      <c r="A241" s="2" t="s">
        <v>1</v>
      </c>
      <c r="B241" s="1" t="s">
        <v>11</v>
      </c>
      <c r="C241" s="77" t="s">
        <v>42</v>
      </c>
      <c r="D241" s="77">
        <f>COUNTIF($C$2:C241,C241)</f>
        <v>29</v>
      </c>
      <c r="E241" s="1" t="s">
        <v>7</v>
      </c>
      <c r="F241" s="1" t="s">
        <v>14</v>
      </c>
      <c r="G241" s="1">
        <v>71</v>
      </c>
      <c r="H241" s="1">
        <v>88</v>
      </c>
      <c r="I241" s="1">
        <v>83</v>
      </c>
    </row>
    <row r="242" spans="1:9" x14ac:dyDescent="0.25">
      <c r="A242" s="2" t="s">
        <v>1</v>
      </c>
      <c r="B242" s="1" t="s">
        <v>11</v>
      </c>
      <c r="C242" s="77" t="s">
        <v>42</v>
      </c>
      <c r="D242" s="77">
        <f>COUNTIF($C$2:C242,C242)</f>
        <v>30</v>
      </c>
      <c r="E242" s="1" t="s">
        <v>7</v>
      </c>
      <c r="F242" s="1" t="s">
        <v>14</v>
      </c>
      <c r="G242" s="1">
        <v>56</v>
      </c>
      <c r="H242" s="1">
        <v>58</v>
      </c>
      <c r="I242" s="1">
        <v>55</v>
      </c>
    </row>
    <row r="243" spans="1:9" x14ac:dyDescent="0.25">
      <c r="A243" s="2" t="s">
        <v>1</v>
      </c>
      <c r="B243" s="1" t="s">
        <v>11</v>
      </c>
      <c r="C243" s="77" t="s">
        <v>42</v>
      </c>
      <c r="D243" s="77">
        <f>COUNTIF($C$2:C243,C243)</f>
        <v>31</v>
      </c>
      <c r="E243" s="1" t="s">
        <v>7</v>
      </c>
      <c r="F243" s="1" t="s">
        <v>14</v>
      </c>
      <c r="G243" s="1">
        <v>71</v>
      </c>
      <c r="H243" s="1">
        <v>69</v>
      </c>
      <c r="I243" s="1">
        <v>73</v>
      </c>
    </row>
    <row r="244" spans="1:9" x14ac:dyDescent="0.25">
      <c r="A244" s="2" t="s">
        <v>1</v>
      </c>
      <c r="B244" s="1" t="s">
        <v>11</v>
      </c>
      <c r="C244" s="77" t="s">
        <v>42</v>
      </c>
      <c r="D244" s="77">
        <f>COUNTIF($C$2:C244,C244)</f>
        <v>32</v>
      </c>
      <c r="E244" s="1" t="s">
        <v>7</v>
      </c>
      <c r="F244" s="1" t="s">
        <v>14</v>
      </c>
      <c r="G244" s="1">
        <v>82</v>
      </c>
      <c r="H244" s="1">
        <v>84</v>
      </c>
      <c r="I244" s="1">
        <v>83</v>
      </c>
    </row>
    <row r="245" spans="1:9" x14ac:dyDescent="0.25">
      <c r="A245" s="2" t="s">
        <v>1</v>
      </c>
      <c r="B245" s="1" t="s">
        <v>11</v>
      </c>
      <c r="C245" s="77" t="s">
        <v>42</v>
      </c>
      <c r="D245" s="77">
        <f>COUNTIF($C$2:C245,C245)</f>
        <v>33</v>
      </c>
      <c r="E245" s="1" t="s">
        <v>7</v>
      </c>
      <c r="F245" s="1" t="s">
        <v>14</v>
      </c>
      <c r="G245" s="1">
        <v>84</v>
      </c>
      <c r="H245" s="1">
        <v>88</v>
      </c>
      <c r="I245" s="1">
        <v>84</v>
      </c>
    </row>
    <row r="246" spans="1:9" x14ac:dyDescent="0.25">
      <c r="A246" s="2" t="s">
        <v>1</v>
      </c>
      <c r="B246" s="1" t="s">
        <v>11</v>
      </c>
      <c r="C246" s="77" t="s">
        <v>42</v>
      </c>
      <c r="D246" s="77">
        <f>COUNTIF($C$2:C246,C246)</f>
        <v>34</v>
      </c>
      <c r="E246" s="1" t="s">
        <v>7</v>
      </c>
      <c r="F246" s="1" t="s">
        <v>14</v>
      </c>
      <c r="G246" s="1">
        <v>61</v>
      </c>
      <c r="H246" s="1">
        <v>64</v>
      </c>
      <c r="I246" s="1">
        <v>54</v>
      </c>
    </row>
    <row r="247" spans="1:9" x14ac:dyDescent="0.25">
      <c r="A247" s="2" t="s">
        <v>1</v>
      </c>
      <c r="B247" s="1" t="s">
        <v>11</v>
      </c>
      <c r="C247" s="77" t="s">
        <v>42</v>
      </c>
      <c r="D247" s="77">
        <f>COUNTIF($C$2:C247,C247)</f>
        <v>35</v>
      </c>
      <c r="E247" s="1" t="s">
        <v>7</v>
      </c>
      <c r="F247" s="1" t="s">
        <v>14</v>
      </c>
      <c r="G247" s="1">
        <v>51</v>
      </c>
      <c r="H247" s="1">
        <v>57</v>
      </c>
      <c r="I247" s="1">
        <v>60</v>
      </c>
    </row>
    <row r="248" spans="1:9" x14ac:dyDescent="0.25">
      <c r="A248" s="2" t="s">
        <v>1</v>
      </c>
      <c r="B248" s="1" t="s">
        <v>11</v>
      </c>
      <c r="C248" s="77" t="s">
        <v>42</v>
      </c>
      <c r="D248" s="77">
        <f>COUNTIF($C$2:C248,C248)</f>
        <v>36</v>
      </c>
      <c r="E248" s="1" t="s">
        <v>7</v>
      </c>
      <c r="F248" s="1" t="s">
        <v>14</v>
      </c>
      <c r="G248" s="1">
        <v>66</v>
      </c>
      <c r="H248" s="1">
        <v>78</v>
      </c>
      <c r="I248" s="1">
        <v>75</v>
      </c>
    </row>
    <row r="249" spans="1:9" x14ac:dyDescent="0.25">
      <c r="A249" s="2" t="s">
        <v>1</v>
      </c>
      <c r="B249" s="1" t="s">
        <v>11</v>
      </c>
      <c r="C249" s="77" t="s">
        <v>42</v>
      </c>
      <c r="D249" s="77">
        <f>COUNTIF($C$2:C249,C249)</f>
        <v>37</v>
      </c>
      <c r="E249" s="1" t="s">
        <v>7</v>
      </c>
      <c r="F249" s="1" t="s">
        <v>14</v>
      </c>
      <c r="G249" s="1">
        <v>81</v>
      </c>
      <c r="H249" s="1">
        <v>93</v>
      </c>
      <c r="I249" s="1">
        <v>94</v>
      </c>
    </row>
    <row r="250" spans="1:9" x14ac:dyDescent="0.25">
      <c r="A250" s="2" t="s">
        <v>1</v>
      </c>
      <c r="B250" s="1" t="s">
        <v>11</v>
      </c>
      <c r="C250" s="77" t="s">
        <v>42</v>
      </c>
      <c r="D250" s="77">
        <f>COUNTIF($C$2:C250,C250)</f>
        <v>38</v>
      </c>
      <c r="E250" s="1" t="s">
        <v>7</v>
      </c>
      <c r="F250" s="1" t="s">
        <v>14</v>
      </c>
      <c r="G250" s="1">
        <v>53</v>
      </c>
      <c r="H250" s="1">
        <v>59</v>
      </c>
      <c r="I250" s="1">
        <v>59</v>
      </c>
    </row>
    <row r="251" spans="1:9" x14ac:dyDescent="0.25">
      <c r="A251" s="2" t="s">
        <v>1</v>
      </c>
      <c r="B251" s="1" t="s">
        <v>11</v>
      </c>
      <c r="C251" s="77" t="s">
        <v>42</v>
      </c>
      <c r="D251" s="77">
        <f>COUNTIF($C$2:C251,C251)</f>
        <v>39</v>
      </c>
      <c r="E251" s="1" t="s">
        <v>7</v>
      </c>
      <c r="F251" s="1" t="s">
        <v>14</v>
      </c>
      <c r="G251" s="1">
        <v>85</v>
      </c>
      <c r="H251" s="1">
        <v>92</v>
      </c>
      <c r="I251" s="1">
        <v>84</v>
      </c>
    </row>
    <row r="252" spans="1:9" x14ac:dyDescent="0.25">
      <c r="A252" s="2" t="s">
        <v>1</v>
      </c>
      <c r="B252" s="1" t="s">
        <v>11</v>
      </c>
      <c r="C252" s="77" t="s">
        <v>42</v>
      </c>
      <c r="D252" s="77">
        <f>COUNTIF($C$2:C252,C252)</f>
        <v>40</v>
      </c>
      <c r="E252" s="1" t="s">
        <v>7</v>
      </c>
      <c r="F252" s="1" t="s">
        <v>14</v>
      </c>
      <c r="G252" s="1">
        <v>45</v>
      </c>
      <c r="H252" s="1">
        <v>46</v>
      </c>
      <c r="I252" s="1">
        <v>47</v>
      </c>
    </row>
    <row r="253" spans="1:9" x14ac:dyDescent="0.25">
      <c r="A253" s="2" t="s">
        <v>1</v>
      </c>
      <c r="B253" s="1" t="s">
        <v>11</v>
      </c>
      <c r="C253" s="77" t="s">
        <v>42</v>
      </c>
      <c r="D253" s="77">
        <f>COUNTIF($C$2:C253,C253)</f>
        <v>41</v>
      </c>
      <c r="E253" s="1" t="s">
        <v>7</v>
      </c>
      <c r="F253" s="1" t="s">
        <v>14</v>
      </c>
      <c r="G253" s="1">
        <v>46</v>
      </c>
      <c r="H253" s="1">
        <v>52</v>
      </c>
      <c r="I253" s="1">
        <v>48</v>
      </c>
    </row>
    <row r="254" spans="1:9" x14ac:dyDescent="0.25">
      <c r="A254" s="2" t="s">
        <v>1</v>
      </c>
      <c r="B254" s="1" t="s">
        <v>11</v>
      </c>
      <c r="C254" s="77" t="s">
        <v>42</v>
      </c>
      <c r="D254" s="77">
        <f>COUNTIF($C$2:C254,C254)</f>
        <v>42</v>
      </c>
      <c r="E254" s="1" t="s">
        <v>7</v>
      </c>
      <c r="F254" s="1" t="s">
        <v>14</v>
      </c>
      <c r="G254" s="1">
        <v>77</v>
      </c>
      <c r="H254" s="1">
        <v>85</v>
      </c>
      <c r="I254" s="1">
        <v>85</v>
      </c>
    </row>
    <row r="255" spans="1:9" x14ac:dyDescent="0.25">
      <c r="A255" s="2" t="s">
        <v>1</v>
      </c>
      <c r="B255" s="1" t="s">
        <v>11</v>
      </c>
      <c r="C255" s="77" t="s">
        <v>42</v>
      </c>
      <c r="D255" s="77">
        <f>COUNTIF($C$2:C255,C255)</f>
        <v>43</v>
      </c>
      <c r="E255" s="1" t="s">
        <v>7</v>
      </c>
      <c r="F255" s="1" t="s">
        <v>14</v>
      </c>
      <c r="G255" s="1">
        <v>59</v>
      </c>
      <c r="H255" s="1">
        <v>72</v>
      </c>
      <c r="I255" s="1">
        <v>70</v>
      </c>
    </row>
    <row r="256" spans="1:9" x14ac:dyDescent="0.25">
      <c r="A256" s="2" t="s">
        <v>1</v>
      </c>
      <c r="B256" s="1" t="s">
        <v>11</v>
      </c>
      <c r="C256" s="77" t="s">
        <v>42</v>
      </c>
      <c r="D256" s="77">
        <f>COUNTIF($C$2:C256,C256)</f>
        <v>44</v>
      </c>
      <c r="E256" s="1" t="s">
        <v>7</v>
      </c>
      <c r="F256" s="1" t="s">
        <v>14</v>
      </c>
      <c r="G256" s="1">
        <v>77</v>
      </c>
      <c r="H256" s="1">
        <v>79</v>
      </c>
      <c r="I256" s="1">
        <v>78</v>
      </c>
    </row>
    <row r="257" spans="1:9" x14ac:dyDescent="0.25">
      <c r="A257" s="2" t="s">
        <v>1</v>
      </c>
      <c r="B257" s="1" t="s">
        <v>11</v>
      </c>
      <c r="C257" s="77" t="s">
        <v>42</v>
      </c>
      <c r="D257" s="77">
        <f>COUNTIF($C$2:C257,C257)</f>
        <v>45</v>
      </c>
      <c r="E257" s="1" t="s">
        <v>7</v>
      </c>
      <c r="F257" s="1" t="s">
        <v>14</v>
      </c>
      <c r="G257" s="1">
        <v>51</v>
      </c>
      <c r="H257" s="1">
        <v>72</v>
      </c>
      <c r="I257" s="1">
        <v>63</v>
      </c>
    </row>
    <row r="258" spans="1:9" x14ac:dyDescent="0.25">
      <c r="A258" s="2" t="s">
        <v>1</v>
      </c>
      <c r="B258" s="1" t="s">
        <v>11</v>
      </c>
      <c r="C258" s="77" t="s">
        <v>42</v>
      </c>
      <c r="D258" s="77">
        <f>COUNTIF($C$2:C258,C258)</f>
        <v>46</v>
      </c>
      <c r="E258" s="1" t="s">
        <v>7</v>
      </c>
      <c r="F258" s="1" t="s">
        <v>14</v>
      </c>
      <c r="G258" s="1">
        <v>79</v>
      </c>
      <c r="H258" s="1">
        <v>93</v>
      </c>
      <c r="I258" s="1">
        <v>81</v>
      </c>
    </row>
    <row r="259" spans="1:9" x14ac:dyDescent="0.25">
      <c r="A259" s="2" t="s">
        <v>1</v>
      </c>
      <c r="B259" s="1" t="s">
        <v>11</v>
      </c>
      <c r="C259" s="77" t="s">
        <v>42</v>
      </c>
      <c r="D259" s="77">
        <f>COUNTIF($C$2:C259,C259)</f>
        <v>47</v>
      </c>
      <c r="E259" s="1" t="s">
        <v>7</v>
      </c>
      <c r="F259" s="1" t="s">
        <v>15</v>
      </c>
      <c r="G259" s="1">
        <v>73</v>
      </c>
      <c r="H259" s="1">
        <v>86</v>
      </c>
      <c r="I259" s="1">
        <v>89</v>
      </c>
    </row>
    <row r="260" spans="1:9" x14ac:dyDescent="0.25">
      <c r="A260" s="2" t="s">
        <v>1</v>
      </c>
      <c r="B260" s="1" t="s">
        <v>11</v>
      </c>
      <c r="C260" s="77" t="s">
        <v>42</v>
      </c>
      <c r="D260" s="77">
        <f>COUNTIF($C$2:C260,C260)</f>
        <v>48</v>
      </c>
      <c r="E260" s="1" t="s">
        <v>7</v>
      </c>
      <c r="F260" s="1" t="s">
        <v>15</v>
      </c>
      <c r="G260" s="1">
        <v>84</v>
      </c>
      <c r="H260" s="1">
        <v>88</v>
      </c>
      <c r="I260" s="1">
        <v>87</v>
      </c>
    </row>
    <row r="261" spans="1:9" x14ac:dyDescent="0.25">
      <c r="A261" s="2" t="s">
        <v>1</v>
      </c>
      <c r="B261" s="1" t="s">
        <v>11</v>
      </c>
      <c r="C261" s="77" t="s">
        <v>42</v>
      </c>
      <c r="D261" s="77">
        <f>COUNTIF($C$2:C261,C261)</f>
        <v>49</v>
      </c>
      <c r="E261" s="1" t="s">
        <v>7</v>
      </c>
      <c r="F261" s="1" t="s">
        <v>15</v>
      </c>
      <c r="G261" s="1">
        <v>81</v>
      </c>
      <c r="H261" s="1">
        <v>90</v>
      </c>
      <c r="I261" s="1">
        <v>93</v>
      </c>
    </row>
    <row r="262" spans="1:9" x14ac:dyDescent="0.25">
      <c r="A262" s="2" t="s">
        <v>1</v>
      </c>
      <c r="B262" s="1" t="s">
        <v>11</v>
      </c>
      <c r="C262" s="77" t="s">
        <v>42</v>
      </c>
      <c r="D262" s="77">
        <f>COUNTIF($C$2:C262,C262)</f>
        <v>50</v>
      </c>
      <c r="E262" s="1" t="s">
        <v>7</v>
      </c>
      <c r="F262" s="1" t="s">
        <v>15</v>
      </c>
      <c r="G262" s="1">
        <v>67</v>
      </c>
      <c r="H262" s="1">
        <v>74</v>
      </c>
      <c r="I262" s="1">
        <v>81</v>
      </c>
    </row>
    <row r="263" spans="1:9" x14ac:dyDescent="0.25">
      <c r="A263" s="2" t="s">
        <v>1</v>
      </c>
      <c r="B263" s="1" t="s">
        <v>11</v>
      </c>
      <c r="C263" s="77" t="s">
        <v>42</v>
      </c>
      <c r="D263" s="77">
        <f>COUNTIF($C$2:C263,C263)</f>
        <v>51</v>
      </c>
      <c r="E263" s="1" t="s">
        <v>7</v>
      </c>
      <c r="F263" s="1" t="s">
        <v>15</v>
      </c>
      <c r="G263" s="1">
        <v>59</v>
      </c>
      <c r="H263" s="1">
        <v>66</v>
      </c>
      <c r="I263" s="1">
        <v>71</v>
      </c>
    </row>
    <row r="264" spans="1:9" x14ac:dyDescent="0.25">
      <c r="A264" s="2" t="s">
        <v>1</v>
      </c>
      <c r="B264" s="1" t="s">
        <v>11</v>
      </c>
      <c r="C264" s="77" t="s">
        <v>42</v>
      </c>
      <c r="D264" s="77">
        <f>COUNTIF($C$2:C264,C264)</f>
        <v>52</v>
      </c>
      <c r="E264" s="1" t="s">
        <v>7</v>
      </c>
      <c r="F264" s="1" t="s">
        <v>15</v>
      </c>
      <c r="G264" s="1">
        <v>80</v>
      </c>
      <c r="H264" s="1">
        <v>88</v>
      </c>
      <c r="I264" s="1">
        <v>90</v>
      </c>
    </row>
    <row r="265" spans="1:9" x14ac:dyDescent="0.25">
      <c r="A265" s="2" t="s">
        <v>1</v>
      </c>
      <c r="B265" s="1" t="s">
        <v>11</v>
      </c>
      <c r="C265" s="77" t="s">
        <v>42</v>
      </c>
      <c r="D265" s="77">
        <f>COUNTIF($C$2:C265,C265)</f>
        <v>53</v>
      </c>
      <c r="E265" s="1" t="s">
        <v>73</v>
      </c>
      <c r="F265" s="1" t="s">
        <v>14</v>
      </c>
      <c r="G265" s="1">
        <v>35</v>
      </c>
      <c r="H265" s="1">
        <v>47</v>
      </c>
      <c r="I265" s="1">
        <v>41</v>
      </c>
    </row>
    <row r="266" spans="1:9" x14ac:dyDescent="0.25">
      <c r="A266" s="2" t="s">
        <v>1</v>
      </c>
      <c r="B266" s="1" t="s">
        <v>11</v>
      </c>
      <c r="C266" s="77" t="s">
        <v>42</v>
      </c>
      <c r="D266" s="77">
        <f>COUNTIF($C$2:C266,C266)</f>
        <v>54</v>
      </c>
      <c r="E266" s="1" t="s">
        <v>73</v>
      </c>
      <c r="F266" s="1" t="s">
        <v>14</v>
      </c>
      <c r="G266" s="1">
        <v>43</v>
      </c>
      <c r="H266" s="1">
        <v>58</v>
      </c>
      <c r="I266" s="1">
        <v>60</v>
      </c>
    </row>
    <row r="267" spans="1:9" x14ac:dyDescent="0.25">
      <c r="A267" s="2" t="s">
        <v>1</v>
      </c>
      <c r="B267" s="1" t="s">
        <v>11</v>
      </c>
      <c r="C267" s="77" t="s">
        <v>42</v>
      </c>
      <c r="D267" s="77">
        <f>COUNTIF($C$2:C267,C267)</f>
        <v>55</v>
      </c>
      <c r="E267" s="1" t="s">
        <v>73</v>
      </c>
      <c r="F267" s="1" t="s">
        <v>14</v>
      </c>
      <c r="G267" s="1">
        <v>43</v>
      </c>
      <c r="H267" s="1">
        <v>65</v>
      </c>
      <c r="I267" s="1">
        <v>60</v>
      </c>
    </row>
    <row r="268" spans="1:9" x14ac:dyDescent="0.25">
      <c r="A268" s="2" t="s">
        <v>1</v>
      </c>
      <c r="B268" s="1" t="s">
        <v>11</v>
      </c>
      <c r="C268" s="77" t="s">
        <v>42</v>
      </c>
      <c r="D268" s="77">
        <f>COUNTIF($C$2:C268,C268)</f>
        <v>56</v>
      </c>
      <c r="E268" s="1" t="s">
        <v>73</v>
      </c>
      <c r="F268" s="1" t="s">
        <v>14</v>
      </c>
      <c r="G268" s="1">
        <v>68</v>
      </c>
      <c r="H268" s="1">
        <v>64</v>
      </c>
      <c r="I268" s="1">
        <v>64</v>
      </c>
    </row>
    <row r="269" spans="1:9" x14ac:dyDescent="0.25">
      <c r="A269" s="2" t="s">
        <v>1</v>
      </c>
      <c r="B269" s="1" t="s">
        <v>11</v>
      </c>
      <c r="C269" s="77" t="s">
        <v>42</v>
      </c>
      <c r="D269" s="77">
        <f>COUNTIF($C$2:C269,C269)</f>
        <v>57</v>
      </c>
      <c r="E269" s="1" t="s">
        <v>73</v>
      </c>
      <c r="F269" s="1" t="s">
        <v>14</v>
      </c>
      <c r="G269" s="1">
        <v>70</v>
      </c>
      <c r="H269" s="1">
        <v>81</v>
      </c>
      <c r="I269" s="1">
        <v>76</v>
      </c>
    </row>
    <row r="270" spans="1:9" x14ac:dyDescent="0.25">
      <c r="A270" s="2" t="s">
        <v>1</v>
      </c>
      <c r="B270" s="1" t="s">
        <v>11</v>
      </c>
      <c r="C270" s="77" t="s">
        <v>42</v>
      </c>
      <c r="D270" s="77">
        <f>COUNTIF($C$2:C270,C270)</f>
        <v>58</v>
      </c>
      <c r="E270" s="1" t="s">
        <v>73</v>
      </c>
      <c r="F270" s="1" t="s">
        <v>14</v>
      </c>
      <c r="G270" s="1">
        <v>62</v>
      </c>
      <c r="H270" s="1">
        <v>74</v>
      </c>
      <c r="I270" s="1">
        <v>74</v>
      </c>
    </row>
    <row r="271" spans="1:9" x14ac:dyDescent="0.25">
      <c r="A271" s="2" t="s">
        <v>1</v>
      </c>
      <c r="B271" s="1" t="s">
        <v>11</v>
      </c>
      <c r="C271" s="77" t="s">
        <v>42</v>
      </c>
      <c r="D271" s="77">
        <f>COUNTIF($C$2:C271,C271)</f>
        <v>59</v>
      </c>
      <c r="E271" s="1" t="s">
        <v>73</v>
      </c>
      <c r="F271" s="1" t="s">
        <v>15</v>
      </c>
      <c r="G271" s="1">
        <v>41</v>
      </c>
      <c r="H271" s="1">
        <v>59</v>
      </c>
      <c r="I271" s="1">
        <v>56</v>
      </c>
    </row>
    <row r="272" spans="1:9" x14ac:dyDescent="0.25">
      <c r="A272" s="2" t="s">
        <v>1</v>
      </c>
      <c r="B272" s="1" t="s">
        <v>11</v>
      </c>
      <c r="C272" s="77" t="s">
        <v>42</v>
      </c>
      <c r="D272" s="77">
        <f>COUNTIF($C$2:C272,C272)</f>
        <v>60</v>
      </c>
      <c r="E272" s="1" t="s">
        <v>73</v>
      </c>
      <c r="F272" s="1" t="s">
        <v>15</v>
      </c>
      <c r="G272" s="1">
        <v>60</v>
      </c>
      <c r="H272" s="1">
        <v>80</v>
      </c>
      <c r="I272" s="1">
        <v>76</v>
      </c>
    </row>
    <row r="273" spans="1:9" x14ac:dyDescent="0.25">
      <c r="A273" s="2" t="s">
        <v>1</v>
      </c>
      <c r="B273" s="1" t="s">
        <v>11</v>
      </c>
      <c r="C273" s="77" t="s">
        <v>42</v>
      </c>
      <c r="D273" s="77">
        <f>COUNTIF($C$2:C273,C273)</f>
        <v>61</v>
      </c>
      <c r="E273" s="1" t="s">
        <v>73</v>
      </c>
      <c r="F273" s="1" t="s">
        <v>15</v>
      </c>
      <c r="G273" s="1">
        <v>44</v>
      </c>
      <c r="H273" s="1">
        <v>44</v>
      </c>
      <c r="I273" s="1">
        <v>53</v>
      </c>
    </row>
    <row r="274" spans="1:9" x14ac:dyDescent="0.25">
      <c r="A274" s="2" t="s">
        <v>1</v>
      </c>
      <c r="B274" s="1" t="s">
        <v>11</v>
      </c>
      <c r="C274" s="77" t="s">
        <v>42</v>
      </c>
      <c r="D274" s="77">
        <f>COUNTIF($C$2:C274,C274)</f>
        <v>62</v>
      </c>
      <c r="E274" s="1" t="s">
        <v>73</v>
      </c>
      <c r="F274" s="1" t="s">
        <v>15</v>
      </c>
      <c r="G274" s="1">
        <v>62</v>
      </c>
      <c r="H274" s="1">
        <v>78</v>
      </c>
      <c r="I274" s="1">
        <v>71</v>
      </c>
    </row>
    <row r="275" spans="1:9" x14ac:dyDescent="0.25">
      <c r="A275" s="2" t="s">
        <v>1</v>
      </c>
      <c r="B275" s="1" t="s">
        <v>11</v>
      </c>
      <c r="C275" s="77" t="s">
        <v>42</v>
      </c>
      <c r="D275" s="77">
        <f>COUNTIF($C$2:C275,C275)</f>
        <v>63</v>
      </c>
      <c r="E275" s="1" t="s">
        <v>73</v>
      </c>
      <c r="F275" s="1" t="s">
        <v>15</v>
      </c>
      <c r="G275" s="1">
        <v>67</v>
      </c>
      <c r="H275" s="1">
        <v>89</v>
      </c>
      <c r="I275" s="1">
        <v>89</v>
      </c>
    </row>
    <row r="276" spans="1:9" x14ac:dyDescent="0.25">
      <c r="A276" s="2" t="s">
        <v>1</v>
      </c>
      <c r="B276" s="1" t="s">
        <v>11</v>
      </c>
      <c r="C276" s="77" t="s">
        <v>42</v>
      </c>
      <c r="D276" s="77">
        <f>COUNTIF($C$2:C276,C276)</f>
        <v>64</v>
      </c>
      <c r="E276" s="1" t="s">
        <v>73</v>
      </c>
      <c r="F276" s="1" t="s">
        <v>15</v>
      </c>
      <c r="G276" s="1">
        <v>64</v>
      </c>
      <c r="H276" s="1">
        <v>81</v>
      </c>
      <c r="I276" s="1">
        <v>87</v>
      </c>
    </row>
    <row r="277" spans="1:9" x14ac:dyDescent="0.25">
      <c r="A277" s="2" t="s">
        <v>1</v>
      </c>
      <c r="B277" s="1" t="s">
        <v>11</v>
      </c>
      <c r="C277" s="78" t="s">
        <v>52</v>
      </c>
      <c r="D277" s="78">
        <f>COUNTIF($C$2:C277,C277)</f>
        <v>18</v>
      </c>
      <c r="E277" s="1" t="s">
        <v>7</v>
      </c>
      <c r="F277" s="1" t="s">
        <v>14</v>
      </c>
      <c r="G277" s="1">
        <v>79</v>
      </c>
      <c r="H277" s="1">
        <v>86</v>
      </c>
      <c r="I277" s="1">
        <v>78</v>
      </c>
    </row>
    <row r="278" spans="1:9" x14ac:dyDescent="0.25">
      <c r="A278" s="2" t="s">
        <v>1</v>
      </c>
      <c r="B278" s="1" t="s">
        <v>11</v>
      </c>
      <c r="C278" s="78" t="s">
        <v>52</v>
      </c>
      <c r="D278" s="78">
        <f>COUNTIF($C$2:C278,C278)</f>
        <v>19</v>
      </c>
      <c r="E278" s="1" t="s">
        <v>7</v>
      </c>
      <c r="F278" s="1" t="s">
        <v>14</v>
      </c>
      <c r="G278" s="1">
        <v>63</v>
      </c>
      <c r="H278" s="1">
        <v>74</v>
      </c>
      <c r="I278" s="1">
        <v>75</v>
      </c>
    </row>
    <row r="279" spans="1:9" x14ac:dyDescent="0.25">
      <c r="A279" s="2" t="s">
        <v>1</v>
      </c>
      <c r="B279" s="1" t="s">
        <v>11</v>
      </c>
      <c r="C279" s="78" t="s">
        <v>52</v>
      </c>
      <c r="D279" s="78">
        <f>COUNTIF($C$2:C279,C279)</f>
        <v>20</v>
      </c>
      <c r="E279" s="1" t="s">
        <v>7</v>
      </c>
      <c r="F279" s="1" t="s">
        <v>14</v>
      </c>
      <c r="G279" s="1">
        <v>64</v>
      </c>
      <c r="H279" s="1">
        <v>82</v>
      </c>
      <c r="I279" s="1">
        <v>80</v>
      </c>
    </row>
    <row r="280" spans="1:9" x14ac:dyDescent="0.25">
      <c r="A280" s="2" t="s">
        <v>1</v>
      </c>
      <c r="B280" s="1" t="s">
        <v>11</v>
      </c>
      <c r="C280" s="78" t="s">
        <v>52</v>
      </c>
      <c r="D280" s="78">
        <f>COUNTIF($C$2:C280,C280)</f>
        <v>21</v>
      </c>
      <c r="E280" s="1" t="s">
        <v>7</v>
      </c>
      <c r="F280" s="1" t="s">
        <v>14</v>
      </c>
      <c r="G280" s="1">
        <v>67</v>
      </c>
      <c r="H280" s="1">
        <v>72</v>
      </c>
      <c r="I280" s="1">
        <v>72</v>
      </c>
    </row>
    <row r="281" spans="1:9" x14ac:dyDescent="0.25">
      <c r="A281" s="2" t="s">
        <v>1</v>
      </c>
      <c r="B281" s="1" t="s">
        <v>11</v>
      </c>
      <c r="C281" s="78" t="s">
        <v>52</v>
      </c>
      <c r="D281" s="78">
        <f>COUNTIF($C$2:C281,C281)</f>
        <v>22</v>
      </c>
      <c r="E281" s="1" t="s">
        <v>7</v>
      </c>
      <c r="F281" s="1" t="s">
        <v>14</v>
      </c>
      <c r="G281" s="1">
        <v>58</v>
      </c>
      <c r="H281" s="1">
        <v>70</v>
      </c>
      <c r="I281" s="1">
        <v>72</v>
      </c>
    </row>
    <row r="282" spans="1:9" x14ac:dyDescent="0.25">
      <c r="A282" s="2" t="s">
        <v>1</v>
      </c>
      <c r="B282" s="1" t="s">
        <v>11</v>
      </c>
      <c r="C282" s="78" t="s">
        <v>52</v>
      </c>
      <c r="D282" s="78">
        <f>COUNTIF($C$2:C282,C282)</f>
        <v>23</v>
      </c>
      <c r="E282" s="1" t="s">
        <v>7</v>
      </c>
      <c r="F282" s="1" t="s">
        <v>14</v>
      </c>
      <c r="G282" s="1">
        <v>61</v>
      </c>
      <c r="H282" s="1">
        <v>66</v>
      </c>
      <c r="I282" s="1">
        <v>71</v>
      </c>
    </row>
    <row r="283" spans="1:9" x14ac:dyDescent="0.25">
      <c r="A283" s="2" t="s">
        <v>1</v>
      </c>
      <c r="B283" s="1" t="s">
        <v>11</v>
      </c>
      <c r="C283" s="78" t="s">
        <v>52</v>
      </c>
      <c r="D283" s="78">
        <f>COUNTIF($C$2:C283,C283)</f>
        <v>24</v>
      </c>
      <c r="E283" s="1" t="s">
        <v>7</v>
      </c>
      <c r="F283" s="1" t="s">
        <v>15</v>
      </c>
      <c r="G283" s="1">
        <v>57</v>
      </c>
      <c r="H283" s="1">
        <v>69</v>
      </c>
      <c r="I283" s="1">
        <v>77</v>
      </c>
    </row>
    <row r="284" spans="1:9" x14ac:dyDescent="0.25">
      <c r="A284" s="2" t="s">
        <v>1</v>
      </c>
      <c r="B284" s="1" t="s">
        <v>11</v>
      </c>
      <c r="C284" s="78" t="s">
        <v>52</v>
      </c>
      <c r="D284" s="78">
        <f>COUNTIF($C$2:C284,C284)</f>
        <v>25</v>
      </c>
      <c r="E284" s="1" t="s">
        <v>7</v>
      </c>
      <c r="F284" s="1" t="s">
        <v>15</v>
      </c>
      <c r="G284" s="1">
        <v>74</v>
      </c>
      <c r="H284" s="1">
        <v>79</v>
      </c>
      <c r="I284" s="1">
        <v>84</v>
      </c>
    </row>
    <row r="285" spans="1:9" x14ac:dyDescent="0.25">
      <c r="A285" s="2" t="s">
        <v>1</v>
      </c>
      <c r="B285" s="1" t="s">
        <v>11</v>
      </c>
      <c r="C285" s="78" t="s">
        <v>52</v>
      </c>
      <c r="D285" s="78">
        <f>COUNTIF($C$2:C285,C285)</f>
        <v>26</v>
      </c>
      <c r="E285" s="1" t="s">
        <v>7</v>
      </c>
      <c r="F285" s="1" t="s">
        <v>15</v>
      </c>
      <c r="G285" s="1">
        <v>92</v>
      </c>
      <c r="H285" s="1">
        <v>88</v>
      </c>
      <c r="I285" s="1">
        <v>94</v>
      </c>
    </row>
    <row r="286" spans="1:9" x14ac:dyDescent="0.25">
      <c r="A286" s="2" t="s">
        <v>1</v>
      </c>
      <c r="B286" s="1" t="s">
        <v>11</v>
      </c>
      <c r="C286" s="78" t="s">
        <v>52</v>
      </c>
      <c r="D286" s="78">
        <f>COUNTIF($C$2:C286,C286)</f>
        <v>27</v>
      </c>
      <c r="E286" s="1" t="s">
        <v>73</v>
      </c>
      <c r="F286" s="1" t="s">
        <v>14</v>
      </c>
      <c r="G286" s="1">
        <v>69</v>
      </c>
      <c r="H286" s="1">
        <v>78</v>
      </c>
      <c r="I286" s="1">
        <v>78</v>
      </c>
    </row>
    <row r="287" spans="1:9" x14ac:dyDescent="0.25">
      <c r="A287" s="2" t="s">
        <v>1</v>
      </c>
      <c r="B287" s="1" t="s">
        <v>11</v>
      </c>
      <c r="C287" s="78" t="s">
        <v>52</v>
      </c>
      <c r="D287" s="78">
        <f>COUNTIF($C$2:C287,C287)</f>
        <v>28</v>
      </c>
      <c r="E287" s="1" t="s">
        <v>73</v>
      </c>
      <c r="F287" s="1" t="s">
        <v>14</v>
      </c>
      <c r="G287" s="1">
        <v>55</v>
      </c>
      <c r="H287" s="1">
        <v>56</v>
      </c>
      <c r="I287" s="1">
        <v>54</v>
      </c>
    </row>
    <row r="288" spans="1:9" x14ac:dyDescent="0.25">
      <c r="A288" s="2" t="s">
        <v>1</v>
      </c>
      <c r="B288" s="1" t="s">
        <v>11</v>
      </c>
      <c r="C288" s="78" t="s">
        <v>52</v>
      </c>
      <c r="D288" s="78">
        <f>COUNTIF($C$2:C288,C288)</f>
        <v>29</v>
      </c>
      <c r="E288" s="1" t="s">
        <v>73</v>
      </c>
      <c r="F288" s="1" t="s">
        <v>15</v>
      </c>
      <c r="G288" s="1">
        <v>62</v>
      </c>
      <c r="H288" s="1">
        <v>68</v>
      </c>
      <c r="I288" s="1">
        <v>74</v>
      </c>
    </row>
    <row r="289" spans="1:9" x14ac:dyDescent="0.25">
      <c r="A289" s="2" t="s">
        <v>1</v>
      </c>
      <c r="B289" s="1" t="s">
        <v>11</v>
      </c>
      <c r="C289" s="78" t="s">
        <v>52</v>
      </c>
      <c r="D289" s="78">
        <f>COUNTIF($C$2:C289,C289)</f>
        <v>30</v>
      </c>
      <c r="E289" s="1" t="s">
        <v>73</v>
      </c>
      <c r="F289" s="1" t="s">
        <v>15</v>
      </c>
      <c r="G289" s="1">
        <v>54</v>
      </c>
      <c r="H289" s="1">
        <v>57</v>
      </c>
      <c r="I289" s="1">
        <v>63</v>
      </c>
    </row>
    <row r="290" spans="1:9" x14ac:dyDescent="0.25">
      <c r="A290" s="2" t="s">
        <v>1</v>
      </c>
      <c r="B290" s="1" t="s">
        <v>11</v>
      </c>
      <c r="C290" s="78" t="s">
        <v>52</v>
      </c>
      <c r="D290" s="78">
        <f>COUNTIF($C$2:C290,C290)</f>
        <v>31</v>
      </c>
      <c r="E290" s="1" t="s">
        <v>73</v>
      </c>
      <c r="F290" s="1" t="s">
        <v>15</v>
      </c>
      <c r="G290" s="1">
        <v>68</v>
      </c>
      <c r="H290" s="1">
        <v>78</v>
      </c>
      <c r="I290" s="1">
        <v>83</v>
      </c>
    </row>
    <row r="291" spans="1:9" x14ac:dyDescent="0.25">
      <c r="A291" s="2" t="s">
        <v>1</v>
      </c>
      <c r="B291" s="1" t="s">
        <v>11</v>
      </c>
      <c r="C291" s="78" t="s">
        <v>52</v>
      </c>
      <c r="D291" s="78">
        <f>COUNTIF($C$2:C291,C291)</f>
        <v>32</v>
      </c>
      <c r="E291" s="1" t="s">
        <v>73</v>
      </c>
      <c r="F291" s="1" t="s">
        <v>15</v>
      </c>
      <c r="G291" s="1">
        <v>44</v>
      </c>
      <c r="H291" s="1">
        <v>45</v>
      </c>
      <c r="I291" s="1">
        <v>52</v>
      </c>
    </row>
    <row r="292" spans="1:9" x14ac:dyDescent="0.25">
      <c r="A292" s="2" t="s">
        <v>1</v>
      </c>
      <c r="B292" s="1" t="s">
        <v>11</v>
      </c>
      <c r="C292" s="79" t="s">
        <v>59</v>
      </c>
      <c r="D292" s="79">
        <f>COUNTIF($C$2:C292,C292)</f>
        <v>7</v>
      </c>
      <c r="E292" s="1" t="s">
        <v>7</v>
      </c>
      <c r="F292" s="1" t="s">
        <v>14</v>
      </c>
      <c r="G292" s="1">
        <v>67</v>
      </c>
      <c r="H292" s="1">
        <v>78</v>
      </c>
      <c r="I292" s="1">
        <v>80</v>
      </c>
    </row>
    <row r="293" spans="1:9" x14ac:dyDescent="0.25">
      <c r="A293" s="2" t="s">
        <v>1</v>
      </c>
      <c r="B293" s="1" t="s">
        <v>11</v>
      </c>
      <c r="C293" s="79" t="s">
        <v>59</v>
      </c>
      <c r="D293" s="79">
        <f>COUNTIF($C$2:C293,C293)</f>
        <v>8</v>
      </c>
      <c r="E293" s="1" t="s">
        <v>7</v>
      </c>
      <c r="F293" s="1" t="s">
        <v>14</v>
      </c>
      <c r="G293" s="1">
        <v>75</v>
      </c>
      <c r="H293" s="1">
        <v>82</v>
      </c>
      <c r="I293" s="1">
        <v>81</v>
      </c>
    </row>
    <row r="294" spans="1:9" x14ac:dyDescent="0.25">
      <c r="A294" s="2" t="s">
        <v>1</v>
      </c>
      <c r="B294" s="1" t="s">
        <v>11</v>
      </c>
      <c r="C294" s="79" t="s">
        <v>59</v>
      </c>
      <c r="D294" s="79">
        <f>COUNTIF($C$2:C294,C294)</f>
        <v>9</v>
      </c>
      <c r="E294" s="1" t="s">
        <v>7</v>
      </c>
      <c r="F294" s="1" t="s">
        <v>14</v>
      </c>
      <c r="G294" s="1">
        <v>70</v>
      </c>
      <c r="H294" s="1">
        <v>81</v>
      </c>
      <c r="I294" s="1">
        <v>75</v>
      </c>
    </row>
    <row r="295" spans="1:9" x14ac:dyDescent="0.25">
      <c r="A295" s="2" t="s">
        <v>1</v>
      </c>
      <c r="B295" s="1" t="s">
        <v>11</v>
      </c>
      <c r="C295" s="79" t="s">
        <v>59</v>
      </c>
      <c r="D295" s="79">
        <f>COUNTIF($C$2:C295,C295)</f>
        <v>10</v>
      </c>
      <c r="E295" s="1" t="s">
        <v>7</v>
      </c>
      <c r="F295" s="1" t="s">
        <v>14</v>
      </c>
      <c r="G295" s="1">
        <v>59</v>
      </c>
      <c r="H295" s="1">
        <v>64</v>
      </c>
      <c r="I295" s="1">
        <v>64</v>
      </c>
    </row>
    <row r="296" spans="1:9" x14ac:dyDescent="0.25">
      <c r="A296" s="2" t="s">
        <v>1</v>
      </c>
      <c r="B296" s="1" t="s">
        <v>11</v>
      </c>
      <c r="C296" s="79" t="s">
        <v>59</v>
      </c>
      <c r="D296" s="79">
        <f>COUNTIF($C$2:C296,C296)</f>
        <v>11</v>
      </c>
      <c r="E296" s="1" t="s">
        <v>7</v>
      </c>
      <c r="F296" s="1" t="s">
        <v>14</v>
      </c>
      <c r="G296" s="1">
        <v>69</v>
      </c>
      <c r="H296" s="1">
        <v>76</v>
      </c>
      <c r="I296" s="1">
        <v>71</v>
      </c>
    </row>
    <row r="297" spans="1:9" x14ac:dyDescent="0.25">
      <c r="A297" s="2" t="s">
        <v>1</v>
      </c>
      <c r="B297" s="1" t="s">
        <v>11</v>
      </c>
      <c r="C297" s="79" t="s">
        <v>59</v>
      </c>
      <c r="D297" s="79">
        <f>COUNTIF($C$2:C297,C297)</f>
        <v>12</v>
      </c>
      <c r="E297" s="1" t="s">
        <v>7</v>
      </c>
      <c r="F297" s="1" t="s">
        <v>15</v>
      </c>
      <c r="G297" s="1">
        <v>50</v>
      </c>
      <c r="H297" s="1">
        <v>64</v>
      </c>
      <c r="I297" s="1">
        <v>63</v>
      </c>
    </row>
    <row r="298" spans="1:9" x14ac:dyDescent="0.25">
      <c r="A298" s="2" t="s">
        <v>1</v>
      </c>
      <c r="B298" s="1" t="s">
        <v>11</v>
      </c>
      <c r="C298" s="79" t="s">
        <v>59</v>
      </c>
      <c r="D298" s="79">
        <f>COUNTIF($C$2:C298,C298)</f>
        <v>13</v>
      </c>
      <c r="E298" s="1" t="s">
        <v>7</v>
      </c>
      <c r="F298" s="1" t="s">
        <v>15</v>
      </c>
      <c r="G298" s="1">
        <v>66</v>
      </c>
      <c r="H298" s="1">
        <v>70</v>
      </c>
      <c r="I298" s="1">
        <v>83</v>
      </c>
    </row>
    <row r="299" spans="1:9" x14ac:dyDescent="0.25">
      <c r="A299" s="2" t="s">
        <v>1</v>
      </c>
      <c r="B299" s="1" t="s">
        <v>11</v>
      </c>
      <c r="C299" s="79" t="s">
        <v>59</v>
      </c>
      <c r="D299" s="79">
        <f>COUNTIF($C$2:C299,C299)</f>
        <v>14</v>
      </c>
      <c r="E299" s="1" t="s">
        <v>7</v>
      </c>
      <c r="F299" s="1" t="s">
        <v>15</v>
      </c>
      <c r="G299" s="1">
        <v>65</v>
      </c>
      <c r="H299" s="1">
        <v>84</v>
      </c>
      <c r="I299" s="1">
        <v>86</v>
      </c>
    </row>
    <row r="300" spans="1:9" x14ac:dyDescent="0.25">
      <c r="A300" s="2" t="s">
        <v>1</v>
      </c>
      <c r="B300" s="1" t="s">
        <v>11</v>
      </c>
      <c r="C300" s="79" t="s">
        <v>59</v>
      </c>
      <c r="D300" s="79">
        <f>COUNTIF($C$2:C300,C300)</f>
        <v>15</v>
      </c>
      <c r="E300" s="1" t="s">
        <v>7</v>
      </c>
      <c r="F300" s="1" t="s">
        <v>15</v>
      </c>
      <c r="G300" s="1">
        <v>62</v>
      </c>
      <c r="H300" s="1">
        <v>68</v>
      </c>
      <c r="I300" s="1">
        <v>75</v>
      </c>
    </row>
    <row r="301" spans="1:9" x14ac:dyDescent="0.25">
      <c r="A301" s="2" t="s">
        <v>1</v>
      </c>
      <c r="B301" s="1" t="s">
        <v>11</v>
      </c>
      <c r="C301" s="79" t="s">
        <v>59</v>
      </c>
      <c r="D301" s="79">
        <f>COUNTIF($C$2:C301,C301)</f>
        <v>16</v>
      </c>
      <c r="E301" s="1" t="s">
        <v>7</v>
      </c>
      <c r="F301" s="1" t="s">
        <v>15</v>
      </c>
      <c r="G301" s="1">
        <v>79</v>
      </c>
      <c r="H301" s="1">
        <v>87</v>
      </c>
      <c r="I301" s="1">
        <v>89</v>
      </c>
    </row>
    <row r="302" spans="1:9" x14ac:dyDescent="0.25">
      <c r="A302" s="2" t="s">
        <v>1</v>
      </c>
      <c r="B302" s="1" t="s">
        <v>11</v>
      </c>
      <c r="C302" s="79" t="s">
        <v>59</v>
      </c>
      <c r="D302" s="79">
        <f>COUNTIF($C$2:C302,C302)</f>
        <v>17</v>
      </c>
      <c r="E302" s="1" t="s">
        <v>7</v>
      </c>
      <c r="F302" s="1" t="s">
        <v>15</v>
      </c>
      <c r="G302" s="1">
        <v>83</v>
      </c>
      <c r="H302" s="1">
        <v>86</v>
      </c>
      <c r="I302" s="1">
        <v>90</v>
      </c>
    </row>
    <row r="303" spans="1:9" x14ac:dyDescent="0.25">
      <c r="A303" s="2" t="s">
        <v>1</v>
      </c>
      <c r="B303" s="1" t="s">
        <v>11</v>
      </c>
      <c r="C303" s="79" t="s">
        <v>59</v>
      </c>
      <c r="D303" s="79">
        <f>COUNTIF($C$2:C303,C303)</f>
        <v>18</v>
      </c>
      <c r="E303" s="1" t="s">
        <v>7</v>
      </c>
      <c r="F303" s="1" t="s">
        <v>15</v>
      </c>
      <c r="G303" s="1">
        <v>79</v>
      </c>
      <c r="H303" s="1">
        <v>92</v>
      </c>
      <c r="I303" s="1">
        <v>87</v>
      </c>
    </row>
    <row r="304" spans="1:9" x14ac:dyDescent="0.25">
      <c r="A304" s="2" t="s">
        <v>1</v>
      </c>
      <c r="B304" s="1" t="s">
        <v>11</v>
      </c>
      <c r="C304" s="79" t="s">
        <v>59</v>
      </c>
      <c r="D304" s="79">
        <f>COUNTIF($C$2:C304,C304)</f>
        <v>19</v>
      </c>
      <c r="E304" s="1" t="s">
        <v>73</v>
      </c>
      <c r="F304" s="1" t="s">
        <v>14</v>
      </c>
      <c r="G304" s="1">
        <v>43</v>
      </c>
      <c r="H304" s="1">
        <v>57</v>
      </c>
      <c r="I304" s="1">
        <v>59</v>
      </c>
    </row>
    <row r="305" spans="1:9" x14ac:dyDescent="0.25">
      <c r="A305" s="2" t="s">
        <v>1</v>
      </c>
      <c r="B305" s="1" t="s">
        <v>11</v>
      </c>
      <c r="C305" s="79" t="s">
        <v>59</v>
      </c>
      <c r="D305" s="79">
        <f>COUNTIF($C$2:C305,C305)</f>
        <v>20</v>
      </c>
      <c r="E305" s="1" t="s">
        <v>73</v>
      </c>
      <c r="F305" s="1" t="s">
        <v>15</v>
      </c>
      <c r="G305" s="1">
        <v>71</v>
      </c>
      <c r="H305" s="1">
        <v>92</v>
      </c>
      <c r="I305" s="1">
        <v>93</v>
      </c>
    </row>
    <row r="306" spans="1:9" x14ac:dyDescent="0.25">
      <c r="A306" s="2" t="s">
        <v>1</v>
      </c>
      <c r="B306" s="1" t="s">
        <v>12</v>
      </c>
      <c r="C306" s="74" t="s">
        <v>53</v>
      </c>
      <c r="D306" s="74">
        <f>COUNTIF($C$2:C306,C306)</f>
        <v>49</v>
      </c>
      <c r="E306" s="1" t="s">
        <v>7</v>
      </c>
      <c r="F306" s="1" t="s">
        <v>14</v>
      </c>
      <c r="G306" s="1">
        <v>74</v>
      </c>
      <c r="H306" s="1">
        <v>75</v>
      </c>
      <c r="I306" s="1">
        <v>74</v>
      </c>
    </row>
    <row r="307" spans="1:9" x14ac:dyDescent="0.25">
      <c r="A307" s="2" t="s">
        <v>1</v>
      </c>
      <c r="B307" s="1" t="s">
        <v>12</v>
      </c>
      <c r="C307" s="74" t="s">
        <v>53</v>
      </c>
      <c r="D307" s="74">
        <f>COUNTIF($C$2:C307,C307)</f>
        <v>50</v>
      </c>
      <c r="E307" s="1" t="s">
        <v>7</v>
      </c>
      <c r="F307" s="1" t="s">
        <v>14</v>
      </c>
      <c r="G307" s="1">
        <v>74</v>
      </c>
      <c r="H307" s="1">
        <v>79</v>
      </c>
      <c r="I307" s="1">
        <v>79</v>
      </c>
    </row>
    <row r="308" spans="1:9" x14ac:dyDescent="0.25">
      <c r="A308" s="2" t="s">
        <v>1</v>
      </c>
      <c r="B308" s="1" t="s">
        <v>12</v>
      </c>
      <c r="C308" s="74" t="s">
        <v>53</v>
      </c>
      <c r="D308" s="74">
        <f>COUNTIF($C$2:C308,C308)</f>
        <v>51</v>
      </c>
      <c r="E308" s="1" t="s">
        <v>7</v>
      </c>
      <c r="F308" s="1" t="s">
        <v>14</v>
      </c>
      <c r="G308" s="1">
        <v>82</v>
      </c>
      <c r="H308" s="1">
        <v>77</v>
      </c>
      <c r="I308" s="1">
        <v>80</v>
      </c>
    </row>
    <row r="309" spans="1:9" x14ac:dyDescent="0.25">
      <c r="A309" s="2" t="s">
        <v>1</v>
      </c>
      <c r="B309" s="1" t="s">
        <v>12</v>
      </c>
      <c r="C309" s="74" t="s">
        <v>53</v>
      </c>
      <c r="D309" s="74">
        <f>COUNTIF($C$2:C309,C309)</f>
        <v>52</v>
      </c>
      <c r="E309" s="1" t="s">
        <v>7</v>
      </c>
      <c r="F309" s="1" t="s">
        <v>14</v>
      </c>
      <c r="G309" s="1">
        <v>52</v>
      </c>
      <c r="H309" s="1">
        <v>66</v>
      </c>
      <c r="I309" s="1">
        <v>63</v>
      </c>
    </row>
    <row r="310" spans="1:9" x14ac:dyDescent="0.25">
      <c r="A310" s="2" t="s">
        <v>1</v>
      </c>
      <c r="B310" s="1" t="s">
        <v>12</v>
      </c>
      <c r="C310" s="74" t="s">
        <v>53</v>
      </c>
      <c r="D310" s="74">
        <f>COUNTIF($C$2:C310,C310)</f>
        <v>53</v>
      </c>
      <c r="E310" s="1" t="s">
        <v>7</v>
      </c>
      <c r="F310" s="1" t="s">
        <v>14</v>
      </c>
      <c r="G310" s="1">
        <v>25</v>
      </c>
      <c r="H310" s="1">
        <v>33</v>
      </c>
      <c r="I310" s="1">
        <v>32</v>
      </c>
    </row>
    <row r="311" spans="1:9" x14ac:dyDescent="0.25">
      <c r="A311" s="2" t="s">
        <v>1</v>
      </c>
      <c r="B311" s="1" t="s">
        <v>12</v>
      </c>
      <c r="C311" s="74" t="s">
        <v>53</v>
      </c>
      <c r="D311" s="74">
        <f>COUNTIF($C$2:C311,C311)</f>
        <v>54</v>
      </c>
      <c r="E311" s="1" t="s">
        <v>7</v>
      </c>
      <c r="F311" s="1" t="s">
        <v>14</v>
      </c>
      <c r="G311" s="1">
        <v>83</v>
      </c>
      <c r="H311" s="1">
        <v>92</v>
      </c>
      <c r="I311" s="1">
        <v>93</v>
      </c>
    </row>
    <row r="312" spans="1:9" x14ac:dyDescent="0.25">
      <c r="A312" s="2" t="s">
        <v>1</v>
      </c>
      <c r="B312" s="1" t="s">
        <v>12</v>
      </c>
      <c r="C312" s="74" t="s">
        <v>53</v>
      </c>
      <c r="D312" s="74">
        <f>COUNTIF($C$2:C312,C312)</f>
        <v>55</v>
      </c>
      <c r="E312" s="1" t="s">
        <v>7</v>
      </c>
      <c r="F312" s="1" t="s">
        <v>14</v>
      </c>
      <c r="G312" s="1">
        <v>62</v>
      </c>
      <c r="H312" s="1">
        <v>68</v>
      </c>
      <c r="I312" s="1">
        <v>65</v>
      </c>
    </row>
    <row r="313" spans="1:9" x14ac:dyDescent="0.25">
      <c r="A313" s="2" t="s">
        <v>1</v>
      </c>
      <c r="B313" s="1" t="s">
        <v>12</v>
      </c>
      <c r="C313" s="74" t="s">
        <v>53</v>
      </c>
      <c r="D313" s="74">
        <f>COUNTIF($C$2:C313,C313)</f>
        <v>56</v>
      </c>
      <c r="E313" s="1" t="s">
        <v>7</v>
      </c>
      <c r="F313" s="1" t="s">
        <v>14</v>
      </c>
      <c r="G313" s="1">
        <v>53</v>
      </c>
      <c r="H313" s="1">
        <v>55</v>
      </c>
      <c r="I313" s="1">
        <v>57</v>
      </c>
    </row>
    <row r="314" spans="1:9" x14ac:dyDescent="0.25">
      <c r="A314" s="2" t="s">
        <v>1</v>
      </c>
      <c r="B314" s="1" t="s">
        <v>12</v>
      </c>
      <c r="C314" s="74" t="s">
        <v>53</v>
      </c>
      <c r="D314" s="74">
        <f>COUNTIF($C$2:C314,C314)</f>
        <v>57</v>
      </c>
      <c r="E314" s="1" t="s">
        <v>7</v>
      </c>
      <c r="F314" s="1" t="s">
        <v>15</v>
      </c>
      <c r="G314" s="1">
        <v>48</v>
      </c>
      <c r="H314" s="1">
        <v>68</v>
      </c>
      <c r="I314" s="1">
        <v>68</v>
      </c>
    </row>
    <row r="315" spans="1:9" x14ac:dyDescent="0.25">
      <c r="A315" s="2" t="s">
        <v>1</v>
      </c>
      <c r="B315" s="1" t="s">
        <v>12</v>
      </c>
      <c r="C315" s="74" t="s">
        <v>53</v>
      </c>
      <c r="D315" s="74">
        <f>COUNTIF($C$2:C315,C315)</f>
        <v>58</v>
      </c>
      <c r="E315" s="1" t="s">
        <v>7</v>
      </c>
      <c r="F315" s="1" t="s">
        <v>15</v>
      </c>
      <c r="G315" s="1">
        <v>83</v>
      </c>
      <c r="H315" s="1">
        <v>95</v>
      </c>
      <c r="I315" s="1">
        <v>97</v>
      </c>
    </row>
    <row r="316" spans="1:9" x14ac:dyDescent="0.25">
      <c r="A316" s="2" t="s">
        <v>1</v>
      </c>
      <c r="B316" s="1" t="s">
        <v>12</v>
      </c>
      <c r="C316" s="74" t="s">
        <v>53</v>
      </c>
      <c r="D316" s="74">
        <f>COUNTIF($C$2:C316,C316)</f>
        <v>59</v>
      </c>
      <c r="E316" s="1" t="s">
        <v>7</v>
      </c>
      <c r="F316" s="1" t="s">
        <v>15</v>
      </c>
      <c r="G316" s="1">
        <v>94</v>
      </c>
      <c r="H316" s="1">
        <v>91</v>
      </c>
      <c r="I316" s="1">
        <v>98</v>
      </c>
    </row>
    <row r="317" spans="1:9" x14ac:dyDescent="0.25">
      <c r="A317" s="2" t="s">
        <v>1</v>
      </c>
      <c r="B317" s="1" t="s">
        <v>12</v>
      </c>
      <c r="C317" s="74" t="s">
        <v>53</v>
      </c>
      <c r="D317" s="74">
        <f>COUNTIF($C$2:C317,C317)</f>
        <v>60</v>
      </c>
      <c r="E317" s="1" t="s">
        <v>7</v>
      </c>
      <c r="F317" s="1" t="s">
        <v>15</v>
      </c>
      <c r="G317" s="1">
        <v>54</v>
      </c>
      <c r="H317" s="1">
        <v>77</v>
      </c>
      <c r="I317" s="1">
        <v>78</v>
      </c>
    </row>
    <row r="318" spans="1:9" x14ac:dyDescent="0.25">
      <c r="A318" s="2" t="s">
        <v>1</v>
      </c>
      <c r="B318" s="1" t="s">
        <v>12</v>
      </c>
      <c r="C318" s="74" t="s">
        <v>53</v>
      </c>
      <c r="D318" s="74">
        <f>COUNTIF($C$2:C318,C318)</f>
        <v>61</v>
      </c>
      <c r="E318" s="1" t="s">
        <v>7</v>
      </c>
      <c r="F318" s="1" t="s">
        <v>15</v>
      </c>
      <c r="G318" s="1">
        <v>69</v>
      </c>
      <c r="H318" s="1">
        <v>86</v>
      </c>
      <c r="I318" s="1">
        <v>87</v>
      </c>
    </row>
    <row r="319" spans="1:9" x14ac:dyDescent="0.25">
      <c r="A319" s="2" t="s">
        <v>1</v>
      </c>
      <c r="B319" s="1" t="s">
        <v>12</v>
      </c>
      <c r="C319" s="74" t="s">
        <v>53</v>
      </c>
      <c r="D319" s="74">
        <f>COUNTIF($C$2:C319,C319)</f>
        <v>62</v>
      </c>
      <c r="E319" s="1" t="s">
        <v>7</v>
      </c>
      <c r="F319" s="1" t="s">
        <v>15</v>
      </c>
      <c r="G319" s="1">
        <v>77</v>
      </c>
      <c r="H319" s="1">
        <v>83</v>
      </c>
      <c r="I319" s="1">
        <v>84</v>
      </c>
    </row>
    <row r="320" spans="1:9" x14ac:dyDescent="0.25">
      <c r="A320" s="2" t="s">
        <v>1</v>
      </c>
      <c r="B320" s="1" t="s">
        <v>12</v>
      </c>
      <c r="C320" s="74" t="s">
        <v>53</v>
      </c>
      <c r="D320" s="74">
        <f>COUNTIF($C$2:C320,C320)</f>
        <v>63</v>
      </c>
      <c r="E320" s="1" t="s">
        <v>73</v>
      </c>
      <c r="F320" s="1" t="s">
        <v>14</v>
      </c>
      <c r="G320" s="1">
        <v>60</v>
      </c>
      <c r="H320" s="1">
        <v>69</v>
      </c>
      <c r="I320" s="1">
        <v>70</v>
      </c>
    </row>
    <row r="321" spans="1:9" x14ac:dyDescent="0.25">
      <c r="A321" s="2" t="s">
        <v>1</v>
      </c>
      <c r="B321" s="1" t="s">
        <v>12</v>
      </c>
      <c r="C321" s="74" t="s">
        <v>53</v>
      </c>
      <c r="D321" s="74">
        <f>COUNTIF($C$2:C321,C321)</f>
        <v>64</v>
      </c>
      <c r="E321" s="1" t="s">
        <v>73</v>
      </c>
      <c r="F321" s="1" t="s">
        <v>14</v>
      </c>
      <c r="G321" s="1">
        <v>58</v>
      </c>
      <c r="H321" s="1">
        <v>63</v>
      </c>
      <c r="I321" s="1">
        <v>65</v>
      </c>
    </row>
    <row r="322" spans="1:9" x14ac:dyDescent="0.25">
      <c r="A322" s="2" t="s">
        <v>1</v>
      </c>
      <c r="B322" s="1" t="s">
        <v>12</v>
      </c>
      <c r="C322" s="74" t="s">
        <v>53</v>
      </c>
      <c r="D322" s="74">
        <f>COUNTIF($C$2:C322,C322)</f>
        <v>65</v>
      </c>
      <c r="E322" s="1" t="s">
        <v>73</v>
      </c>
      <c r="F322" s="1" t="s">
        <v>14</v>
      </c>
      <c r="G322" s="1">
        <v>30</v>
      </c>
      <c r="H322" s="1">
        <v>59</v>
      </c>
      <c r="I322" s="1">
        <v>51</v>
      </c>
    </row>
    <row r="323" spans="1:9" x14ac:dyDescent="0.25">
      <c r="A323" s="2" t="s">
        <v>1</v>
      </c>
      <c r="B323" s="1" t="s">
        <v>12</v>
      </c>
      <c r="C323" s="74" t="s">
        <v>53</v>
      </c>
      <c r="D323" s="74">
        <f>COUNTIF($C$2:C323,C323)</f>
        <v>66</v>
      </c>
      <c r="E323" s="1" t="s">
        <v>73</v>
      </c>
      <c r="F323" s="1" t="s">
        <v>15</v>
      </c>
      <c r="G323" s="1">
        <v>41</v>
      </c>
      <c r="H323" s="1">
        <v>58</v>
      </c>
      <c r="I323" s="1">
        <v>59</v>
      </c>
    </row>
    <row r="324" spans="1:9" x14ac:dyDescent="0.25">
      <c r="A324" s="2" t="s">
        <v>1</v>
      </c>
      <c r="B324" s="1" t="s">
        <v>12</v>
      </c>
      <c r="C324" s="74" t="s">
        <v>53</v>
      </c>
      <c r="D324" s="74">
        <f>COUNTIF($C$2:C324,C324)</f>
        <v>67</v>
      </c>
      <c r="E324" s="1" t="s">
        <v>73</v>
      </c>
      <c r="F324" s="1" t="s">
        <v>15</v>
      </c>
      <c r="G324" s="1">
        <v>64</v>
      </c>
      <c r="H324" s="1">
        <v>84</v>
      </c>
      <c r="I324" s="1">
        <v>83</v>
      </c>
    </row>
    <row r="325" spans="1:9" x14ac:dyDescent="0.25">
      <c r="A325" s="2" t="s">
        <v>1</v>
      </c>
      <c r="B325" s="1" t="s">
        <v>12</v>
      </c>
      <c r="C325" s="74" t="s">
        <v>53</v>
      </c>
      <c r="D325" s="74">
        <f>COUNTIF($C$2:C325,C325)</f>
        <v>68</v>
      </c>
      <c r="E325" s="1" t="s">
        <v>73</v>
      </c>
      <c r="F325" s="1" t="s">
        <v>15</v>
      </c>
      <c r="G325" s="1">
        <v>49</v>
      </c>
      <c r="H325" s="1">
        <v>69</v>
      </c>
      <c r="I325" s="1">
        <v>68</v>
      </c>
    </row>
    <row r="326" spans="1:9" x14ac:dyDescent="0.25">
      <c r="A326" s="2" t="s">
        <v>1</v>
      </c>
      <c r="B326" s="1" t="s">
        <v>12</v>
      </c>
      <c r="C326" s="74" t="s">
        <v>53</v>
      </c>
      <c r="D326" s="74">
        <f>COUNTIF($C$2:C326,C326)</f>
        <v>69</v>
      </c>
      <c r="E326" s="1" t="s">
        <v>73</v>
      </c>
      <c r="F326" s="1" t="s">
        <v>15</v>
      </c>
      <c r="G326" s="1">
        <v>64</v>
      </c>
      <c r="H326" s="1">
        <v>75</v>
      </c>
      <c r="I326" s="1">
        <v>81</v>
      </c>
    </row>
    <row r="327" spans="1:9" x14ac:dyDescent="0.25">
      <c r="A327" s="2" t="s">
        <v>1</v>
      </c>
      <c r="B327" s="1" t="s">
        <v>12</v>
      </c>
      <c r="C327" s="74" t="s">
        <v>53</v>
      </c>
      <c r="D327" s="74">
        <f>COUNTIF($C$2:C327,C327)</f>
        <v>70</v>
      </c>
      <c r="E327" s="1" t="s">
        <v>73</v>
      </c>
      <c r="F327" s="1" t="s">
        <v>15</v>
      </c>
      <c r="G327" s="1">
        <v>62</v>
      </c>
      <c r="H327" s="1">
        <v>75</v>
      </c>
      <c r="I327" s="1">
        <v>79</v>
      </c>
    </row>
    <row r="328" spans="1:9" x14ac:dyDescent="0.25">
      <c r="A328" s="2" t="s">
        <v>1</v>
      </c>
      <c r="B328" s="1" t="s">
        <v>12</v>
      </c>
      <c r="C328" s="75" t="s">
        <v>6</v>
      </c>
      <c r="D328" s="75">
        <f>COUNTIF($C$2:C328,C328)</f>
        <v>76</v>
      </c>
      <c r="E328" s="1" t="s">
        <v>7</v>
      </c>
      <c r="F328" s="1" t="s">
        <v>14</v>
      </c>
      <c r="G328" s="1">
        <v>59</v>
      </c>
      <c r="H328" s="1">
        <v>69</v>
      </c>
      <c r="I328" s="1">
        <v>64</v>
      </c>
    </row>
    <row r="329" spans="1:9" x14ac:dyDescent="0.25">
      <c r="A329" s="2" t="s">
        <v>1</v>
      </c>
      <c r="B329" s="1" t="s">
        <v>12</v>
      </c>
      <c r="C329" s="75" t="s">
        <v>6</v>
      </c>
      <c r="D329" s="75">
        <f>COUNTIF($C$2:C329,C329)</f>
        <v>77</v>
      </c>
      <c r="E329" s="1" t="s">
        <v>7</v>
      </c>
      <c r="F329" s="1" t="s">
        <v>14</v>
      </c>
      <c r="G329" s="1">
        <v>58</v>
      </c>
      <c r="H329" s="1">
        <v>66</v>
      </c>
      <c r="I329" s="1">
        <v>70</v>
      </c>
    </row>
    <row r="330" spans="1:9" x14ac:dyDescent="0.25">
      <c r="A330" s="2" t="s">
        <v>1</v>
      </c>
      <c r="B330" s="1" t="s">
        <v>12</v>
      </c>
      <c r="C330" s="75" t="s">
        <v>6</v>
      </c>
      <c r="D330" s="75">
        <f>COUNTIF($C$2:C330,C330)</f>
        <v>78</v>
      </c>
      <c r="E330" s="1" t="s">
        <v>7</v>
      </c>
      <c r="F330" s="1" t="s">
        <v>14</v>
      </c>
      <c r="G330" s="1">
        <v>77</v>
      </c>
      <c r="H330" s="1">
        <v>90</v>
      </c>
      <c r="I330" s="1">
        <v>82</v>
      </c>
    </row>
    <row r="331" spans="1:9" x14ac:dyDescent="0.25">
      <c r="A331" s="2" t="s">
        <v>1</v>
      </c>
      <c r="B331" s="1" t="s">
        <v>12</v>
      </c>
      <c r="C331" s="75" t="s">
        <v>6</v>
      </c>
      <c r="D331" s="75">
        <f>COUNTIF($C$2:C331,C331)</f>
        <v>79</v>
      </c>
      <c r="E331" s="1" t="s">
        <v>7</v>
      </c>
      <c r="F331" s="1" t="s">
        <v>14</v>
      </c>
      <c r="G331" s="1">
        <v>44</v>
      </c>
      <c r="H331" s="1">
        <v>47</v>
      </c>
      <c r="I331" s="1">
        <v>55</v>
      </c>
    </row>
    <row r="332" spans="1:9" x14ac:dyDescent="0.25">
      <c r="A332" s="2" t="s">
        <v>1</v>
      </c>
      <c r="B332" s="1" t="s">
        <v>12</v>
      </c>
      <c r="C332" s="75" t="s">
        <v>6</v>
      </c>
      <c r="D332" s="75">
        <f>COUNTIF($C$2:C332,C332)</f>
        <v>80</v>
      </c>
      <c r="E332" s="1" t="s">
        <v>7</v>
      </c>
      <c r="F332" s="1" t="s">
        <v>14</v>
      </c>
      <c r="G332" s="1">
        <v>53</v>
      </c>
      <c r="H332" s="1">
        <v>66</v>
      </c>
      <c r="I332" s="1">
        <v>64</v>
      </c>
    </row>
    <row r="333" spans="1:9" x14ac:dyDescent="0.25">
      <c r="A333" s="2" t="s">
        <v>1</v>
      </c>
      <c r="B333" s="1" t="s">
        <v>12</v>
      </c>
      <c r="C333" s="75" t="s">
        <v>6</v>
      </c>
      <c r="D333" s="75">
        <f>COUNTIF($C$2:C333,C333)</f>
        <v>81</v>
      </c>
      <c r="E333" s="1" t="s">
        <v>7</v>
      </c>
      <c r="F333" s="1" t="s">
        <v>14</v>
      </c>
      <c r="G333" s="1">
        <v>54</v>
      </c>
      <c r="H333" s="1">
        <v>62</v>
      </c>
      <c r="I333" s="1">
        <v>62</v>
      </c>
    </row>
    <row r="334" spans="1:9" x14ac:dyDescent="0.25">
      <c r="A334" s="2" t="s">
        <v>1</v>
      </c>
      <c r="B334" s="1" t="s">
        <v>12</v>
      </c>
      <c r="C334" s="75" t="s">
        <v>6</v>
      </c>
      <c r="D334" s="75">
        <f>COUNTIF($C$2:C334,C334)</f>
        <v>82</v>
      </c>
      <c r="E334" s="1" t="s">
        <v>7</v>
      </c>
      <c r="F334" s="1" t="s">
        <v>14</v>
      </c>
      <c r="G334" s="1">
        <v>74</v>
      </c>
      <c r="H334" s="1">
        <v>82</v>
      </c>
      <c r="I334" s="1">
        <v>81</v>
      </c>
    </row>
    <row r="335" spans="1:9" x14ac:dyDescent="0.25">
      <c r="A335" s="2" t="s">
        <v>1</v>
      </c>
      <c r="B335" s="1" t="s">
        <v>12</v>
      </c>
      <c r="C335" s="75" t="s">
        <v>6</v>
      </c>
      <c r="D335" s="75">
        <f>COUNTIF($C$2:C335,C335)</f>
        <v>83</v>
      </c>
      <c r="E335" s="1" t="s">
        <v>7</v>
      </c>
      <c r="F335" s="1" t="s">
        <v>15</v>
      </c>
      <c r="G335" s="1">
        <v>92</v>
      </c>
      <c r="H335" s="1">
        <v>95</v>
      </c>
      <c r="I335" s="1">
        <v>93</v>
      </c>
    </row>
    <row r="336" spans="1:9" x14ac:dyDescent="0.25">
      <c r="A336" s="2" t="s">
        <v>1</v>
      </c>
      <c r="B336" s="1" t="s">
        <v>12</v>
      </c>
      <c r="C336" s="75" t="s">
        <v>6</v>
      </c>
      <c r="D336" s="75">
        <f>COUNTIF($C$2:C336,C336)</f>
        <v>84</v>
      </c>
      <c r="E336" s="1" t="s">
        <v>7</v>
      </c>
      <c r="F336" s="1" t="s">
        <v>15</v>
      </c>
      <c r="G336" s="1">
        <v>91</v>
      </c>
      <c r="H336" s="1">
        <v>100</v>
      </c>
      <c r="I336" s="1">
        <v>100</v>
      </c>
    </row>
    <row r="337" spans="1:9" x14ac:dyDescent="0.25">
      <c r="A337" s="2" t="s">
        <v>1</v>
      </c>
      <c r="B337" s="1" t="s">
        <v>12</v>
      </c>
      <c r="C337" s="75" t="s">
        <v>6</v>
      </c>
      <c r="D337" s="75">
        <f>COUNTIF($C$2:C337,C337)</f>
        <v>85</v>
      </c>
      <c r="E337" s="1" t="s">
        <v>7</v>
      </c>
      <c r="F337" s="1" t="s">
        <v>15</v>
      </c>
      <c r="G337" s="1">
        <v>63</v>
      </c>
      <c r="H337" s="1">
        <v>78</v>
      </c>
      <c r="I337" s="1">
        <v>74</v>
      </c>
    </row>
    <row r="338" spans="1:9" x14ac:dyDescent="0.25">
      <c r="A338" s="2" t="s">
        <v>1</v>
      </c>
      <c r="B338" s="1" t="s">
        <v>12</v>
      </c>
      <c r="C338" s="75" t="s">
        <v>6</v>
      </c>
      <c r="D338" s="75">
        <f>COUNTIF($C$2:C338,C338)</f>
        <v>86</v>
      </c>
      <c r="E338" s="1" t="s">
        <v>7</v>
      </c>
      <c r="F338" s="1" t="s">
        <v>15</v>
      </c>
      <c r="G338" s="1">
        <v>50</v>
      </c>
      <c r="H338" s="1">
        <v>72</v>
      </c>
      <c r="I338" s="1">
        <v>70</v>
      </c>
    </row>
    <row r="339" spans="1:9" x14ac:dyDescent="0.25">
      <c r="A339" s="2" t="s">
        <v>1</v>
      </c>
      <c r="B339" s="1" t="s">
        <v>12</v>
      </c>
      <c r="C339" s="75" t="s">
        <v>6</v>
      </c>
      <c r="D339" s="75">
        <f>COUNTIF($C$2:C339,C339)</f>
        <v>87</v>
      </c>
      <c r="E339" s="1" t="s">
        <v>7</v>
      </c>
      <c r="F339" s="1" t="s">
        <v>15</v>
      </c>
      <c r="G339" s="1">
        <v>85</v>
      </c>
      <c r="H339" s="1">
        <v>98</v>
      </c>
      <c r="I339" s="1">
        <v>99</v>
      </c>
    </row>
    <row r="340" spans="1:9" x14ac:dyDescent="0.25">
      <c r="A340" s="2" t="s">
        <v>1</v>
      </c>
      <c r="B340" s="1" t="s">
        <v>12</v>
      </c>
      <c r="C340" s="75" t="s">
        <v>6</v>
      </c>
      <c r="D340" s="75">
        <f>COUNTIF($C$2:C340,C340)</f>
        <v>88</v>
      </c>
      <c r="E340" s="1" t="s">
        <v>7</v>
      </c>
      <c r="F340" s="1" t="s">
        <v>15</v>
      </c>
      <c r="G340" s="1">
        <v>75</v>
      </c>
      <c r="H340" s="1">
        <v>74</v>
      </c>
      <c r="I340" s="1">
        <v>75</v>
      </c>
    </row>
    <row r="341" spans="1:9" x14ac:dyDescent="0.25">
      <c r="A341" s="2" t="s">
        <v>1</v>
      </c>
      <c r="B341" s="1" t="s">
        <v>12</v>
      </c>
      <c r="C341" s="75" t="s">
        <v>6</v>
      </c>
      <c r="D341" s="75">
        <f>COUNTIF($C$2:C341,C341)</f>
        <v>89</v>
      </c>
      <c r="E341" s="1" t="s">
        <v>73</v>
      </c>
      <c r="F341" s="1" t="s">
        <v>14</v>
      </c>
      <c r="G341" s="1">
        <v>47</v>
      </c>
      <c r="H341" s="1">
        <v>66</v>
      </c>
      <c r="I341" s="1">
        <v>66</v>
      </c>
    </row>
    <row r="342" spans="1:9" x14ac:dyDescent="0.25">
      <c r="A342" s="2" t="s">
        <v>1</v>
      </c>
      <c r="B342" s="1" t="s">
        <v>12</v>
      </c>
      <c r="C342" s="75" t="s">
        <v>6</v>
      </c>
      <c r="D342" s="75">
        <f>COUNTIF($C$2:C342,C342)</f>
        <v>90</v>
      </c>
      <c r="E342" s="1" t="s">
        <v>73</v>
      </c>
      <c r="F342" s="1" t="s">
        <v>14</v>
      </c>
      <c r="G342" s="1">
        <v>42</v>
      </c>
      <c r="H342" s="1">
        <v>61</v>
      </c>
      <c r="I342" s="1">
        <v>63</v>
      </c>
    </row>
    <row r="343" spans="1:9" x14ac:dyDescent="0.25">
      <c r="A343" s="2" t="s">
        <v>1</v>
      </c>
      <c r="B343" s="1" t="s">
        <v>12</v>
      </c>
      <c r="C343" s="75" t="s">
        <v>6</v>
      </c>
      <c r="D343" s="75">
        <f>COUNTIF($C$2:C343,C343)</f>
        <v>91</v>
      </c>
      <c r="E343" s="1" t="s">
        <v>73</v>
      </c>
      <c r="F343" s="1" t="s">
        <v>14</v>
      </c>
      <c r="G343" s="1">
        <v>54</v>
      </c>
      <c r="H343" s="1">
        <v>58</v>
      </c>
      <c r="I343" s="1">
        <v>63</v>
      </c>
    </row>
    <row r="344" spans="1:9" x14ac:dyDescent="0.25">
      <c r="A344" s="2" t="s">
        <v>1</v>
      </c>
      <c r="B344" s="1" t="s">
        <v>12</v>
      </c>
      <c r="C344" s="75" t="s">
        <v>6</v>
      </c>
      <c r="D344" s="75">
        <f>COUNTIF($C$2:C344,C344)</f>
        <v>92</v>
      </c>
      <c r="E344" s="1" t="s">
        <v>73</v>
      </c>
      <c r="F344" s="1" t="s">
        <v>14</v>
      </c>
      <c r="G344" s="1">
        <v>75</v>
      </c>
      <c r="H344" s="1">
        <v>81</v>
      </c>
      <c r="I344" s="1">
        <v>87</v>
      </c>
    </row>
    <row r="345" spans="1:9" x14ac:dyDescent="0.25">
      <c r="A345" s="2" t="s">
        <v>1</v>
      </c>
      <c r="B345" s="1" t="s">
        <v>12</v>
      </c>
      <c r="C345" s="75" t="s">
        <v>6</v>
      </c>
      <c r="D345" s="75">
        <f>COUNTIF($C$2:C345,C345)</f>
        <v>93</v>
      </c>
      <c r="E345" s="1" t="s">
        <v>73</v>
      </c>
      <c r="F345" s="1" t="s">
        <v>14</v>
      </c>
      <c r="G345" s="1">
        <v>15</v>
      </c>
      <c r="H345" s="1">
        <v>39</v>
      </c>
      <c r="I345" s="1">
        <v>40</v>
      </c>
    </row>
    <row r="346" spans="1:9" x14ac:dyDescent="0.25">
      <c r="A346" s="2" t="s">
        <v>1</v>
      </c>
      <c r="B346" s="1" t="s">
        <v>12</v>
      </c>
      <c r="C346" s="75" t="s">
        <v>6</v>
      </c>
      <c r="D346" s="75">
        <f>COUNTIF($C$2:C346,C346)</f>
        <v>94</v>
      </c>
      <c r="E346" s="1" t="s">
        <v>73</v>
      </c>
      <c r="F346" s="1" t="s">
        <v>14</v>
      </c>
      <c r="G346" s="1">
        <v>68</v>
      </c>
      <c r="H346" s="1">
        <v>73</v>
      </c>
      <c r="I346" s="1">
        <v>71</v>
      </c>
    </row>
    <row r="347" spans="1:9" x14ac:dyDescent="0.25">
      <c r="A347" s="2" t="s">
        <v>1</v>
      </c>
      <c r="B347" s="1" t="s">
        <v>12</v>
      </c>
      <c r="C347" s="75" t="s">
        <v>6</v>
      </c>
      <c r="D347" s="75">
        <f>COUNTIF($C$2:C347,C347)</f>
        <v>95</v>
      </c>
      <c r="E347" s="1" t="s">
        <v>73</v>
      </c>
      <c r="F347" s="1" t="s">
        <v>15</v>
      </c>
      <c r="G347" s="1">
        <v>72</v>
      </c>
      <c r="H347" s="1">
        <v>76</v>
      </c>
      <c r="I347" s="1">
        <v>78</v>
      </c>
    </row>
    <row r="348" spans="1:9" x14ac:dyDescent="0.25">
      <c r="A348" s="2" t="s">
        <v>1</v>
      </c>
      <c r="B348" s="1" t="s">
        <v>12</v>
      </c>
      <c r="C348" s="75" t="s">
        <v>6</v>
      </c>
      <c r="D348" s="75">
        <f>COUNTIF($C$2:C348,C348)</f>
        <v>96</v>
      </c>
      <c r="E348" s="1" t="s">
        <v>73</v>
      </c>
      <c r="F348" s="1" t="s">
        <v>15</v>
      </c>
      <c r="G348" s="1">
        <v>67</v>
      </c>
      <c r="H348" s="1">
        <v>75</v>
      </c>
      <c r="I348" s="1">
        <v>84</v>
      </c>
    </row>
    <row r="349" spans="1:9" x14ac:dyDescent="0.25">
      <c r="A349" s="2" t="s">
        <v>1</v>
      </c>
      <c r="B349" s="1" t="s">
        <v>12</v>
      </c>
      <c r="C349" s="75" t="s">
        <v>6</v>
      </c>
      <c r="D349" s="75">
        <f>COUNTIF($C$2:C349,C349)</f>
        <v>97</v>
      </c>
      <c r="E349" s="1" t="s">
        <v>73</v>
      </c>
      <c r="F349" s="1" t="s">
        <v>15</v>
      </c>
      <c r="G349" s="1">
        <v>78</v>
      </c>
      <c r="H349" s="1">
        <v>86</v>
      </c>
      <c r="I349" s="1">
        <v>88</v>
      </c>
    </row>
    <row r="350" spans="1:9" x14ac:dyDescent="0.25">
      <c r="A350" s="2" t="s">
        <v>1</v>
      </c>
      <c r="B350" s="1" t="s">
        <v>12</v>
      </c>
      <c r="C350" s="75" t="s">
        <v>6</v>
      </c>
      <c r="D350" s="75">
        <f>COUNTIF($C$2:C350,C350)</f>
        <v>98</v>
      </c>
      <c r="E350" s="1" t="s">
        <v>73</v>
      </c>
      <c r="F350" s="1" t="s">
        <v>15</v>
      </c>
      <c r="G350" s="1">
        <v>39</v>
      </c>
      <c r="H350" s="1">
        <v>52</v>
      </c>
      <c r="I350" s="1">
        <v>58</v>
      </c>
    </row>
    <row r="351" spans="1:9" x14ac:dyDescent="0.25">
      <c r="A351" s="2" t="s">
        <v>1</v>
      </c>
      <c r="B351" s="1" t="s">
        <v>12</v>
      </c>
      <c r="C351" s="76" t="s">
        <v>54</v>
      </c>
      <c r="D351" s="76">
        <f>COUNTIF($C$2:C351,C351)</f>
        <v>66</v>
      </c>
      <c r="E351" s="1" t="s">
        <v>7</v>
      </c>
      <c r="F351" s="1" t="s">
        <v>14</v>
      </c>
      <c r="G351" s="1">
        <v>83</v>
      </c>
      <c r="H351" s="1">
        <v>85</v>
      </c>
      <c r="I351" s="1">
        <v>86</v>
      </c>
    </row>
    <row r="352" spans="1:9" x14ac:dyDescent="0.25">
      <c r="A352" s="2" t="s">
        <v>1</v>
      </c>
      <c r="B352" s="1" t="s">
        <v>12</v>
      </c>
      <c r="C352" s="76" t="s">
        <v>54</v>
      </c>
      <c r="D352" s="76">
        <f>COUNTIF($C$2:C352,C352)</f>
        <v>67</v>
      </c>
      <c r="E352" s="1" t="s">
        <v>7</v>
      </c>
      <c r="F352" s="1" t="s">
        <v>14</v>
      </c>
      <c r="G352" s="1">
        <v>61</v>
      </c>
      <c r="H352" s="1">
        <v>56</v>
      </c>
      <c r="I352" s="1">
        <v>60</v>
      </c>
    </row>
    <row r="353" spans="1:9" x14ac:dyDescent="0.25">
      <c r="A353" s="2" t="s">
        <v>1</v>
      </c>
      <c r="B353" s="1" t="s">
        <v>12</v>
      </c>
      <c r="C353" s="76" t="s">
        <v>54</v>
      </c>
      <c r="D353" s="76">
        <f>COUNTIF($C$2:C353,C353)</f>
        <v>68</v>
      </c>
      <c r="E353" s="1" t="s">
        <v>7</v>
      </c>
      <c r="F353" s="1" t="s">
        <v>14</v>
      </c>
      <c r="G353" s="1">
        <v>70</v>
      </c>
      <c r="H353" s="1">
        <v>79</v>
      </c>
      <c r="I353" s="1">
        <v>76</v>
      </c>
    </row>
    <row r="354" spans="1:9" x14ac:dyDescent="0.25">
      <c r="A354" s="2" t="s">
        <v>1</v>
      </c>
      <c r="B354" s="1" t="s">
        <v>12</v>
      </c>
      <c r="C354" s="76" t="s">
        <v>54</v>
      </c>
      <c r="D354" s="76">
        <f>COUNTIF($C$2:C354,C354)</f>
        <v>69</v>
      </c>
      <c r="E354" s="1" t="s">
        <v>7</v>
      </c>
      <c r="F354" s="1" t="s">
        <v>14</v>
      </c>
      <c r="G354" s="1">
        <v>42</v>
      </c>
      <c r="H354" s="1">
        <v>48</v>
      </c>
      <c r="I354" s="1">
        <v>42</v>
      </c>
    </row>
    <row r="355" spans="1:9" x14ac:dyDescent="0.25">
      <c r="A355" s="2" t="s">
        <v>1</v>
      </c>
      <c r="B355" s="1" t="s">
        <v>12</v>
      </c>
      <c r="C355" s="76" t="s">
        <v>54</v>
      </c>
      <c r="D355" s="76">
        <f>COUNTIF($C$2:C355,C355)</f>
        <v>70</v>
      </c>
      <c r="E355" s="1" t="s">
        <v>7</v>
      </c>
      <c r="F355" s="1" t="s">
        <v>14</v>
      </c>
      <c r="G355" s="1">
        <v>40</v>
      </c>
      <c r="H355" s="1">
        <v>51</v>
      </c>
      <c r="I355" s="1">
        <v>51</v>
      </c>
    </row>
    <row r="356" spans="1:9" x14ac:dyDescent="0.25">
      <c r="A356" s="2" t="s">
        <v>1</v>
      </c>
      <c r="B356" s="1" t="s">
        <v>12</v>
      </c>
      <c r="C356" s="76" t="s">
        <v>54</v>
      </c>
      <c r="D356" s="76">
        <f>COUNTIF($C$2:C356,C356)</f>
        <v>71</v>
      </c>
      <c r="E356" s="1" t="s">
        <v>7</v>
      </c>
      <c r="F356" s="1" t="s">
        <v>14</v>
      </c>
      <c r="G356" s="1">
        <v>84</v>
      </c>
      <c r="H356" s="1">
        <v>90</v>
      </c>
      <c r="I356" s="1">
        <v>90</v>
      </c>
    </row>
    <row r="357" spans="1:9" x14ac:dyDescent="0.25">
      <c r="A357" s="2" t="s">
        <v>1</v>
      </c>
      <c r="B357" s="1" t="s">
        <v>12</v>
      </c>
      <c r="C357" s="76" t="s">
        <v>54</v>
      </c>
      <c r="D357" s="76">
        <f>COUNTIF($C$2:C357,C357)</f>
        <v>72</v>
      </c>
      <c r="E357" s="1" t="s">
        <v>7</v>
      </c>
      <c r="F357" s="1" t="s">
        <v>14</v>
      </c>
      <c r="G357" s="1">
        <v>61</v>
      </c>
      <c r="H357" s="1">
        <v>70</v>
      </c>
      <c r="I357" s="1">
        <v>73</v>
      </c>
    </row>
    <row r="358" spans="1:9" x14ac:dyDescent="0.25">
      <c r="A358" s="2" t="s">
        <v>1</v>
      </c>
      <c r="B358" s="1" t="s">
        <v>12</v>
      </c>
      <c r="C358" s="76" t="s">
        <v>54</v>
      </c>
      <c r="D358" s="76">
        <f>COUNTIF($C$2:C358,C358)</f>
        <v>73</v>
      </c>
      <c r="E358" s="1" t="s">
        <v>7</v>
      </c>
      <c r="F358" s="1" t="s">
        <v>14</v>
      </c>
      <c r="G358" s="1">
        <v>75</v>
      </c>
      <c r="H358" s="1">
        <v>87</v>
      </c>
      <c r="I358" s="1">
        <v>90</v>
      </c>
    </row>
    <row r="359" spans="1:9" x14ac:dyDescent="0.25">
      <c r="A359" s="2" t="s">
        <v>1</v>
      </c>
      <c r="B359" s="1" t="s">
        <v>12</v>
      </c>
      <c r="C359" s="76" t="s">
        <v>54</v>
      </c>
      <c r="D359" s="76">
        <f>COUNTIF($C$2:C359,C359)</f>
        <v>74</v>
      </c>
      <c r="E359" s="1" t="s">
        <v>7</v>
      </c>
      <c r="F359" s="1" t="s">
        <v>14</v>
      </c>
      <c r="G359" s="1">
        <v>66</v>
      </c>
      <c r="H359" s="1">
        <v>72</v>
      </c>
      <c r="I359" s="1">
        <v>74</v>
      </c>
    </row>
    <row r="360" spans="1:9" x14ac:dyDescent="0.25">
      <c r="A360" s="2" t="s">
        <v>1</v>
      </c>
      <c r="B360" s="1" t="s">
        <v>12</v>
      </c>
      <c r="C360" s="76" t="s">
        <v>54</v>
      </c>
      <c r="D360" s="76">
        <f>COUNTIF($C$2:C360,C360)</f>
        <v>75</v>
      </c>
      <c r="E360" s="1" t="s">
        <v>7</v>
      </c>
      <c r="F360" s="1" t="s">
        <v>14</v>
      </c>
      <c r="G360" s="1">
        <v>67</v>
      </c>
      <c r="H360" s="1">
        <v>67</v>
      </c>
      <c r="I360" s="1">
        <v>67</v>
      </c>
    </row>
    <row r="361" spans="1:9" x14ac:dyDescent="0.25">
      <c r="A361" s="2" t="s">
        <v>1</v>
      </c>
      <c r="B361" s="1" t="s">
        <v>12</v>
      </c>
      <c r="C361" s="76" t="s">
        <v>54</v>
      </c>
      <c r="D361" s="76">
        <f>COUNTIF($C$2:C361,C361)</f>
        <v>76</v>
      </c>
      <c r="E361" s="1" t="s">
        <v>7</v>
      </c>
      <c r="F361" s="1" t="s">
        <v>14</v>
      </c>
      <c r="G361" s="1">
        <v>63</v>
      </c>
      <c r="H361" s="1">
        <v>69</v>
      </c>
      <c r="I361" s="1">
        <v>66</v>
      </c>
    </row>
    <row r="362" spans="1:9" x14ac:dyDescent="0.25">
      <c r="A362" s="2" t="s">
        <v>1</v>
      </c>
      <c r="B362" s="1" t="s">
        <v>12</v>
      </c>
      <c r="C362" s="76" t="s">
        <v>54</v>
      </c>
      <c r="D362" s="76">
        <f>COUNTIF($C$2:C362,C362)</f>
        <v>77</v>
      </c>
      <c r="E362" s="1" t="s">
        <v>7</v>
      </c>
      <c r="F362" s="1" t="s">
        <v>14</v>
      </c>
      <c r="G362" s="1">
        <v>84</v>
      </c>
      <c r="H362" s="1">
        <v>92</v>
      </c>
      <c r="I362" s="1">
        <v>90</v>
      </c>
    </row>
    <row r="363" spans="1:9" x14ac:dyDescent="0.25">
      <c r="A363" s="2" t="s">
        <v>1</v>
      </c>
      <c r="B363" s="1" t="s">
        <v>12</v>
      </c>
      <c r="C363" s="76" t="s">
        <v>54</v>
      </c>
      <c r="D363" s="76">
        <f>COUNTIF($C$2:C363,C363)</f>
        <v>78</v>
      </c>
      <c r="E363" s="1" t="s">
        <v>7</v>
      </c>
      <c r="F363" s="1" t="s">
        <v>15</v>
      </c>
      <c r="G363" s="1">
        <v>65</v>
      </c>
      <c r="H363" s="1">
        <v>71</v>
      </c>
      <c r="I363" s="1">
        <v>74</v>
      </c>
    </row>
    <row r="364" spans="1:9" x14ac:dyDescent="0.25">
      <c r="A364" s="2" t="s">
        <v>1</v>
      </c>
      <c r="B364" s="1" t="s">
        <v>12</v>
      </c>
      <c r="C364" s="76" t="s">
        <v>54</v>
      </c>
      <c r="D364" s="76">
        <f>COUNTIF($C$2:C364,C364)</f>
        <v>79</v>
      </c>
      <c r="E364" s="1" t="s">
        <v>7</v>
      </c>
      <c r="F364" s="1" t="s">
        <v>15</v>
      </c>
      <c r="G364" s="1">
        <v>67</v>
      </c>
      <c r="H364" s="1">
        <v>71</v>
      </c>
      <c r="I364" s="1">
        <v>76</v>
      </c>
    </row>
    <row r="365" spans="1:9" x14ac:dyDescent="0.25">
      <c r="A365" s="2" t="s">
        <v>1</v>
      </c>
      <c r="B365" s="1" t="s">
        <v>12</v>
      </c>
      <c r="C365" s="76" t="s">
        <v>54</v>
      </c>
      <c r="D365" s="76">
        <f>COUNTIF($C$2:C365,C365)</f>
        <v>80</v>
      </c>
      <c r="E365" s="1" t="s">
        <v>7</v>
      </c>
      <c r="F365" s="1" t="s">
        <v>15</v>
      </c>
      <c r="G365" s="1">
        <v>82</v>
      </c>
      <c r="H365" s="1">
        <v>85</v>
      </c>
      <c r="I365" s="1">
        <v>94</v>
      </c>
    </row>
    <row r="366" spans="1:9" x14ac:dyDescent="0.25">
      <c r="A366" s="2" t="s">
        <v>1</v>
      </c>
      <c r="B366" s="1" t="s">
        <v>12</v>
      </c>
      <c r="C366" s="76" t="s">
        <v>54</v>
      </c>
      <c r="D366" s="76">
        <f>COUNTIF($C$2:C366,C366)</f>
        <v>81</v>
      </c>
      <c r="E366" s="1" t="s">
        <v>7</v>
      </c>
      <c r="F366" s="1" t="s">
        <v>15</v>
      </c>
      <c r="G366" s="1">
        <v>73</v>
      </c>
      <c r="H366" s="1">
        <v>87</v>
      </c>
      <c r="I366" s="1">
        <v>83</v>
      </c>
    </row>
    <row r="367" spans="1:9" x14ac:dyDescent="0.25">
      <c r="A367" s="2" t="s">
        <v>1</v>
      </c>
      <c r="B367" s="1" t="s">
        <v>12</v>
      </c>
      <c r="C367" s="76" t="s">
        <v>54</v>
      </c>
      <c r="D367" s="76">
        <f>COUNTIF($C$2:C367,C367)</f>
        <v>82</v>
      </c>
      <c r="E367" s="1" t="s">
        <v>7</v>
      </c>
      <c r="F367" s="1" t="s">
        <v>15</v>
      </c>
      <c r="G367" s="1">
        <v>82</v>
      </c>
      <c r="H367" s="1">
        <v>95</v>
      </c>
      <c r="I367" s="1">
        <v>100</v>
      </c>
    </row>
    <row r="368" spans="1:9" x14ac:dyDescent="0.25">
      <c r="A368" s="2" t="s">
        <v>1</v>
      </c>
      <c r="B368" s="1" t="s">
        <v>12</v>
      </c>
      <c r="C368" s="76" t="s">
        <v>54</v>
      </c>
      <c r="D368" s="76">
        <f>COUNTIF($C$2:C368,C368)</f>
        <v>83</v>
      </c>
      <c r="E368" s="1" t="s">
        <v>73</v>
      </c>
      <c r="F368" s="1" t="s">
        <v>14</v>
      </c>
      <c r="G368" s="1">
        <v>68</v>
      </c>
      <c r="H368" s="1">
        <v>76</v>
      </c>
      <c r="I368" s="1">
        <v>79</v>
      </c>
    </row>
    <row r="369" spans="1:9" x14ac:dyDescent="0.25">
      <c r="A369" s="2" t="s">
        <v>1</v>
      </c>
      <c r="B369" s="1" t="s">
        <v>12</v>
      </c>
      <c r="C369" s="76" t="s">
        <v>54</v>
      </c>
      <c r="D369" s="76">
        <f>COUNTIF($C$2:C369,C369)</f>
        <v>84</v>
      </c>
      <c r="E369" s="1" t="s">
        <v>73</v>
      </c>
      <c r="F369" s="1" t="s">
        <v>14</v>
      </c>
      <c r="G369" s="1">
        <v>62</v>
      </c>
      <c r="H369" s="1">
        <v>65</v>
      </c>
      <c r="I369" s="1">
        <v>69</v>
      </c>
    </row>
    <row r="370" spans="1:9" x14ac:dyDescent="0.25">
      <c r="A370" s="2" t="s">
        <v>1</v>
      </c>
      <c r="B370" s="1" t="s">
        <v>12</v>
      </c>
      <c r="C370" s="76" t="s">
        <v>54</v>
      </c>
      <c r="D370" s="76">
        <f>COUNTIF($C$2:C370,C370)</f>
        <v>85</v>
      </c>
      <c r="E370" s="1" t="s">
        <v>73</v>
      </c>
      <c r="F370" s="1" t="s">
        <v>14</v>
      </c>
      <c r="G370" s="1">
        <v>45</v>
      </c>
      <c r="H370" s="1">
        <v>61</v>
      </c>
      <c r="I370" s="1">
        <v>57</v>
      </c>
    </row>
    <row r="371" spans="1:9" x14ac:dyDescent="0.25">
      <c r="A371" s="2" t="s">
        <v>1</v>
      </c>
      <c r="B371" s="1" t="s">
        <v>12</v>
      </c>
      <c r="C371" s="76" t="s">
        <v>54</v>
      </c>
      <c r="D371" s="76">
        <f>COUNTIF($C$2:C371,C371)</f>
        <v>86</v>
      </c>
      <c r="E371" s="1" t="s">
        <v>73</v>
      </c>
      <c r="F371" s="1" t="s">
        <v>14</v>
      </c>
      <c r="G371" s="1">
        <v>39</v>
      </c>
      <c r="H371" s="1">
        <v>65</v>
      </c>
      <c r="I371" s="1">
        <v>64</v>
      </c>
    </row>
    <row r="372" spans="1:9" x14ac:dyDescent="0.25">
      <c r="A372" s="2" t="s">
        <v>1</v>
      </c>
      <c r="B372" s="1" t="s">
        <v>12</v>
      </c>
      <c r="C372" s="76" t="s">
        <v>54</v>
      </c>
      <c r="D372" s="76">
        <f>COUNTIF($C$2:C372,C372)</f>
        <v>87</v>
      </c>
      <c r="E372" s="1" t="s">
        <v>73</v>
      </c>
      <c r="F372" s="1" t="s">
        <v>14</v>
      </c>
      <c r="G372" s="1">
        <v>71</v>
      </c>
      <c r="H372" s="1">
        <v>78</v>
      </c>
      <c r="I372" s="1">
        <v>81</v>
      </c>
    </row>
    <row r="373" spans="1:9" x14ac:dyDescent="0.25">
      <c r="A373" s="2" t="s">
        <v>1</v>
      </c>
      <c r="B373" s="1" t="s">
        <v>12</v>
      </c>
      <c r="C373" s="76" t="s">
        <v>54</v>
      </c>
      <c r="D373" s="76">
        <f>COUNTIF($C$2:C373,C373)</f>
        <v>88</v>
      </c>
      <c r="E373" s="1" t="s">
        <v>73</v>
      </c>
      <c r="F373" s="1" t="s">
        <v>15</v>
      </c>
      <c r="G373" s="1">
        <v>64</v>
      </c>
      <c r="H373" s="1">
        <v>67</v>
      </c>
      <c r="I373" s="1">
        <v>75</v>
      </c>
    </row>
    <row r="374" spans="1:9" x14ac:dyDescent="0.25">
      <c r="A374" s="2" t="s">
        <v>1</v>
      </c>
      <c r="B374" s="1" t="s">
        <v>12</v>
      </c>
      <c r="C374" s="76" t="s">
        <v>54</v>
      </c>
      <c r="D374" s="76">
        <f>COUNTIF($C$2:C374,C374)</f>
        <v>89</v>
      </c>
      <c r="E374" s="1" t="s">
        <v>73</v>
      </c>
      <c r="F374" s="1" t="s">
        <v>15</v>
      </c>
      <c r="G374" s="1">
        <v>73</v>
      </c>
      <c r="H374" s="1">
        <v>72</v>
      </c>
      <c r="I374" s="1">
        <v>79</v>
      </c>
    </row>
    <row r="375" spans="1:9" x14ac:dyDescent="0.25">
      <c r="A375" s="2" t="s">
        <v>1</v>
      </c>
      <c r="B375" s="1" t="s">
        <v>12</v>
      </c>
      <c r="C375" s="76" t="s">
        <v>54</v>
      </c>
      <c r="D375" s="76">
        <f>COUNTIF($C$2:C375,C375)</f>
        <v>90</v>
      </c>
      <c r="E375" s="1" t="s">
        <v>73</v>
      </c>
      <c r="F375" s="1" t="s">
        <v>15</v>
      </c>
      <c r="G375" s="1">
        <v>47</v>
      </c>
      <c r="H375" s="1">
        <v>58</v>
      </c>
      <c r="I375" s="1">
        <v>56</v>
      </c>
    </row>
    <row r="376" spans="1:9" x14ac:dyDescent="0.25">
      <c r="A376" s="2" t="s">
        <v>1</v>
      </c>
      <c r="B376" s="1" t="s">
        <v>12</v>
      </c>
      <c r="C376" s="77" t="s">
        <v>42</v>
      </c>
      <c r="D376" s="77">
        <f>COUNTIF($C$2:C376,C376)</f>
        <v>65</v>
      </c>
      <c r="E376" s="1" t="s">
        <v>7</v>
      </c>
      <c r="F376" s="1" t="s">
        <v>14</v>
      </c>
      <c r="G376" s="1">
        <v>73</v>
      </c>
      <c r="H376" s="1">
        <v>89</v>
      </c>
      <c r="I376" s="1">
        <v>89</v>
      </c>
    </row>
    <row r="377" spans="1:9" x14ac:dyDescent="0.25">
      <c r="A377" s="2" t="s">
        <v>1</v>
      </c>
      <c r="B377" s="1" t="s">
        <v>12</v>
      </c>
      <c r="C377" s="77" t="s">
        <v>42</v>
      </c>
      <c r="D377" s="77">
        <f>COUNTIF($C$2:C377,C377)</f>
        <v>66</v>
      </c>
      <c r="E377" s="1" t="s">
        <v>7</v>
      </c>
      <c r="F377" s="1" t="s">
        <v>14</v>
      </c>
      <c r="G377" s="1">
        <v>75</v>
      </c>
      <c r="H377" s="1">
        <v>75</v>
      </c>
      <c r="I377" s="1">
        <v>78</v>
      </c>
    </row>
    <row r="378" spans="1:9" x14ac:dyDescent="0.25">
      <c r="A378" s="2" t="s">
        <v>1</v>
      </c>
      <c r="B378" s="1" t="s">
        <v>12</v>
      </c>
      <c r="C378" s="77" t="s">
        <v>42</v>
      </c>
      <c r="D378" s="77">
        <f>COUNTIF($C$2:C378,C378)</f>
        <v>67</v>
      </c>
      <c r="E378" s="1" t="s">
        <v>7</v>
      </c>
      <c r="F378" s="1" t="s">
        <v>14</v>
      </c>
      <c r="G378" s="1">
        <v>62</v>
      </c>
      <c r="H378" s="1">
        <v>62</v>
      </c>
      <c r="I378" s="1">
        <v>68</v>
      </c>
    </row>
    <row r="379" spans="1:9" x14ac:dyDescent="0.25">
      <c r="A379" s="2" t="s">
        <v>1</v>
      </c>
      <c r="B379" s="1" t="s">
        <v>12</v>
      </c>
      <c r="C379" s="77" t="s">
        <v>42</v>
      </c>
      <c r="D379" s="77">
        <f>COUNTIF($C$2:C379,C379)</f>
        <v>68</v>
      </c>
      <c r="E379" s="1" t="s">
        <v>7</v>
      </c>
      <c r="F379" s="1" t="s">
        <v>14</v>
      </c>
      <c r="G379" s="1">
        <v>74</v>
      </c>
      <c r="H379" s="1">
        <v>79</v>
      </c>
      <c r="I379" s="1">
        <v>73</v>
      </c>
    </row>
    <row r="380" spans="1:9" x14ac:dyDescent="0.25">
      <c r="A380" s="2" t="s">
        <v>1</v>
      </c>
      <c r="B380" s="1" t="s">
        <v>12</v>
      </c>
      <c r="C380" s="77" t="s">
        <v>42</v>
      </c>
      <c r="D380" s="77">
        <f>COUNTIF($C$2:C380,C380)</f>
        <v>69</v>
      </c>
      <c r="E380" s="1" t="s">
        <v>7</v>
      </c>
      <c r="F380" s="1" t="s">
        <v>14</v>
      </c>
      <c r="G380" s="1">
        <v>71</v>
      </c>
      <c r="H380" s="1">
        <v>74</v>
      </c>
      <c r="I380" s="1">
        <v>80</v>
      </c>
    </row>
    <row r="381" spans="1:9" x14ac:dyDescent="0.25">
      <c r="A381" s="2" t="s">
        <v>1</v>
      </c>
      <c r="B381" s="1" t="s">
        <v>12</v>
      </c>
      <c r="C381" s="77" t="s">
        <v>42</v>
      </c>
      <c r="D381" s="77">
        <f>COUNTIF($C$2:C381,C381)</f>
        <v>70</v>
      </c>
      <c r="E381" s="1" t="s">
        <v>7</v>
      </c>
      <c r="F381" s="1" t="s">
        <v>14</v>
      </c>
      <c r="G381" s="1">
        <v>71</v>
      </c>
      <c r="H381" s="1">
        <v>71</v>
      </c>
      <c r="I381" s="1">
        <v>76</v>
      </c>
    </row>
    <row r="382" spans="1:9" x14ac:dyDescent="0.25">
      <c r="A382" s="2" t="s">
        <v>1</v>
      </c>
      <c r="B382" s="1" t="s">
        <v>12</v>
      </c>
      <c r="C382" s="77" t="s">
        <v>42</v>
      </c>
      <c r="D382" s="77">
        <f>COUNTIF($C$2:C382,C382)</f>
        <v>71</v>
      </c>
      <c r="E382" s="1" t="s">
        <v>7</v>
      </c>
      <c r="F382" s="1" t="s">
        <v>14</v>
      </c>
      <c r="G382" s="1">
        <v>56</v>
      </c>
      <c r="H382" s="1">
        <v>53</v>
      </c>
      <c r="I382" s="1">
        <v>58</v>
      </c>
    </row>
    <row r="383" spans="1:9" x14ac:dyDescent="0.25">
      <c r="A383" s="2" t="s">
        <v>1</v>
      </c>
      <c r="B383" s="1" t="s">
        <v>12</v>
      </c>
      <c r="C383" s="77" t="s">
        <v>42</v>
      </c>
      <c r="D383" s="77">
        <f>COUNTIF($C$2:C383,C383)</f>
        <v>72</v>
      </c>
      <c r="E383" s="1" t="s">
        <v>7</v>
      </c>
      <c r="F383" s="1" t="s">
        <v>14</v>
      </c>
      <c r="G383" s="1">
        <v>58</v>
      </c>
      <c r="H383" s="1">
        <v>62</v>
      </c>
      <c r="I383" s="1">
        <v>63</v>
      </c>
    </row>
    <row r="384" spans="1:9" x14ac:dyDescent="0.25">
      <c r="A384" s="2" t="s">
        <v>1</v>
      </c>
      <c r="B384" s="1" t="s">
        <v>12</v>
      </c>
      <c r="C384" s="77" t="s">
        <v>42</v>
      </c>
      <c r="D384" s="77">
        <f>COUNTIF($C$2:C384,C384)</f>
        <v>73</v>
      </c>
      <c r="E384" s="1" t="s">
        <v>7</v>
      </c>
      <c r="F384" s="1" t="s">
        <v>14</v>
      </c>
      <c r="G384" s="1">
        <v>84</v>
      </c>
      <c r="H384" s="1">
        <v>97</v>
      </c>
      <c r="I384" s="1">
        <v>96</v>
      </c>
    </row>
    <row r="385" spans="1:9" x14ac:dyDescent="0.25">
      <c r="A385" s="2" t="s">
        <v>1</v>
      </c>
      <c r="B385" s="1" t="s">
        <v>12</v>
      </c>
      <c r="C385" s="77" t="s">
        <v>42</v>
      </c>
      <c r="D385" s="77">
        <f>COUNTIF($C$2:C385,C385)</f>
        <v>74</v>
      </c>
      <c r="E385" s="1" t="s">
        <v>7</v>
      </c>
      <c r="F385" s="1" t="s">
        <v>14</v>
      </c>
      <c r="G385" s="1">
        <v>68</v>
      </c>
      <c r="H385" s="1">
        <v>76</v>
      </c>
      <c r="I385" s="1">
        <v>79</v>
      </c>
    </row>
    <row r="386" spans="1:9" x14ac:dyDescent="0.25">
      <c r="A386" s="2" t="s">
        <v>1</v>
      </c>
      <c r="B386" s="1" t="s">
        <v>12</v>
      </c>
      <c r="C386" s="77" t="s">
        <v>42</v>
      </c>
      <c r="D386" s="77">
        <f>COUNTIF($C$2:C386,C386)</f>
        <v>75</v>
      </c>
      <c r="E386" s="1" t="s">
        <v>7</v>
      </c>
      <c r="F386" s="1" t="s">
        <v>14</v>
      </c>
      <c r="G386" s="1">
        <v>74</v>
      </c>
      <c r="H386" s="1">
        <v>81</v>
      </c>
      <c r="I386" s="1">
        <v>82</v>
      </c>
    </row>
    <row r="387" spans="1:9" x14ac:dyDescent="0.25">
      <c r="A387" s="2" t="s">
        <v>1</v>
      </c>
      <c r="B387" s="1" t="s">
        <v>12</v>
      </c>
      <c r="C387" s="77" t="s">
        <v>42</v>
      </c>
      <c r="D387" s="77">
        <f>COUNTIF($C$2:C387,C387)</f>
        <v>76</v>
      </c>
      <c r="E387" s="1" t="s">
        <v>7</v>
      </c>
      <c r="F387" s="1" t="s">
        <v>14</v>
      </c>
      <c r="G387" s="1">
        <v>66</v>
      </c>
      <c r="H387" s="1">
        <v>70</v>
      </c>
      <c r="I387" s="1">
        <v>67</v>
      </c>
    </row>
    <row r="388" spans="1:9" x14ac:dyDescent="0.25">
      <c r="A388" s="2" t="s">
        <v>1</v>
      </c>
      <c r="B388" s="1" t="s">
        <v>12</v>
      </c>
      <c r="C388" s="77" t="s">
        <v>42</v>
      </c>
      <c r="D388" s="77">
        <f>COUNTIF($C$2:C388,C388)</f>
        <v>77</v>
      </c>
      <c r="E388" s="1" t="s">
        <v>7</v>
      </c>
      <c r="F388" s="1" t="s">
        <v>15</v>
      </c>
      <c r="G388" s="1">
        <v>59</v>
      </c>
      <c r="H388" s="1">
        <v>70</v>
      </c>
      <c r="I388" s="1">
        <v>78</v>
      </c>
    </row>
    <row r="389" spans="1:9" x14ac:dyDescent="0.25">
      <c r="A389" s="2" t="s">
        <v>1</v>
      </c>
      <c r="B389" s="1" t="s">
        <v>12</v>
      </c>
      <c r="C389" s="77" t="s">
        <v>42</v>
      </c>
      <c r="D389" s="77">
        <f>COUNTIF($C$2:C389,C389)</f>
        <v>78</v>
      </c>
      <c r="E389" s="1" t="s">
        <v>7</v>
      </c>
      <c r="F389" s="1" t="s">
        <v>15</v>
      </c>
      <c r="G389" s="1">
        <v>68</v>
      </c>
      <c r="H389" s="1">
        <v>84</v>
      </c>
      <c r="I389" s="1">
        <v>87</v>
      </c>
    </row>
    <row r="390" spans="1:9" x14ac:dyDescent="0.25">
      <c r="A390" s="2" t="s">
        <v>1</v>
      </c>
      <c r="B390" s="1" t="s">
        <v>12</v>
      </c>
      <c r="C390" s="77" t="s">
        <v>42</v>
      </c>
      <c r="D390" s="77">
        <f>COUNTIF($C$2:C390,C390)</f>
        <v>79</v>
      </c>
      <c r="E390" s="1" t="s">
        <v>7</v>
      </c>
      <c r="F390" s="1" t="s">
        <v>15</v>
      </c>
      <c r="G390" s="1">
        <v>61</v>
      </c>
      <c r="H390" s="1">
        <v>63</v>
      </c>
      <c r="I390" s="1">
        <v>70</v>
      </c>
    </row>
    <row r="391" spans="1:9" x14ac:dyDescent="0.25">
      <c r="A391" s="2" t="s">
        <v>1</v>
      </c>
      <c r="B391" s="1" t="s">
        <v>12</v>
      </c>
      <c r="C391" s="77" t="s">
        <v>42</v>
      </c>
      <c r="D391" s="77">
        <f>COUNTIF($C$2:C391,C391)</f>
        <v>80</v>
      </c>
      <c r="E391" s="1" t="s">
        <v>7</v>
      </c>
      <c r="F391" s="1" t="s">
        <v>15</v>
      </c>
      <c r="G391" s="1">
        <v>81</v>
      </c>
      <c r="H391" s="1">
        <v>93</v>
      </c>
      <c r="I391" s="1">
        <v>94</v>
      </c>
    </row>
    <row r="392" spans="1:9" x14ac:dyDescent="0.25">
      <c r="A392" s="2" t="s">
        <v>1</v>
      </c>
      <c r="B392" s="1" t="s">
        <v>12</v>
      </c>
      <c r="C392" s="77" t="s">
        <v>42</v>
      </c>
      <c r="D392" s="77">
        <f>COUNTIF($C$2:C392,C392)</f>
        <v>81</v>
      </c>
      <c r="E392" s="1" t="s">
        <v>7</v>
      </c>
      <c r="F392" s="1" t="s">
        <v>15</v>
      </c>
      <c r="G392" s="1">
        <v>81</v>
      </c>
      <c r="H392" s="1">
        <v>99</v>
      </c>
      <c r="I392" s="1">
        <v>96</v>
      </c>
    </row>
    <row r="393" spans="1:9" x14ac:dyDescent="0.25">
      <c r="A393" s="2" t="s">
        <v>1</v>
      </c>
      <c r="B393" s="1" t="s">
        <v>12</v>
      </c>
      <c r="C393" s="77" t="s">
        <v>42</v>
      </c>
      <c r="D393" s="77">
        <f>COUNTIF($C$2:C393,C393)</f>
        <v>82</v>
      </c>
      <c r="E393" s="1" t="s">
        <v>73</v>
      </c>
      <c r="F393" s="1" t="s">
        <v>14</v>
      </c>
      <c r="G393" s="1">
        <v>57</v>
      </c>
      <c r="H393" s="1">
        <v>76</v>
      </c>
      <c r="I393" s="1">
        <v>77</v>
      </c>
    </row>
    <row r="394" spans="1:9" x14ac:dyDescent="0.25">
      <c r="A394" s="2" t="s">
        <v>1</v>
      </c>
      <c r="B394" s="1" t="s">
        <v>12</v>
      </c>
      <c r="C394" s="77" t="s">
        <v>42</v>
      </c>
      <c r="D394" s="77">
        <f>COUNTIF($C$2:C394,C394)</f>
        <v>83</v>
      </c>
      <c r="E394" s="1" t="s">
        <v>73</v>
      </c>
      <c r="F394" s="1" t="s">
        <v>14</v>
      </c>
      <c r="G394" s="1">
        <v>71</v>
      </c>
      <c r="H394" s="1">
        <v>83</v>
      </c>
      <c r="I394" s="1">
        <v>80</v>
      </c>
    </row>
    <row r="395" spans="1:9" x14ac:dyDescent="0.25">
      <c r="A395" s="2" t="s">
        <v>1</v>
      </c>
      <c r="B395" s="1" t="s">
        <v>12</v>
      </c>
      <c r="C395" s="77" t="s">
        <v>42</v>
      </c>
      <c r="D395" s="77">
        <f>COUNTIF($C$2:C395,C395)</f>
        <v>84</v>
      </c>
      <c r="E395" s="1" t="s">
        <v>73</v>
      </c>
      <c r="F395" s="1" t="s">
        <v>14</v>
      </c>
      <c r="G395" s="1">
        <v>50</v>
      </c>
      <c r="H395" s="1">
        <v>66</v>
      </c>
      <c r="I395" s="1">
        <v>66</v>
      </c>
    </row>
    <row r="396" spans="1:9" x14ac:dyDescent="0.25">
      <c r="A396" s="2" t="s">
        <v>1</v>
      </c>
      <c r="B396" s="1" t="s">
        <v>12</v>
      </c>
      <c r="C396" s="77" t="s">
        <v>42</v>
      </c>
      <c r="D396" s="77">
        <f>COUNTIF($C$2:C396,C396)</f>
        <v>85</v>
      </c>
      <c r="E396" s="1" t="s">
        <v>73</v>
      </c>
      <c r="F396" s="1" t="s">
        <v>14</v>
      </c>
      <c r="G396" s="1">
        <v>43</v>
      </c>
      <c r="H396" s="1">
        <v>48</v>
      </c>
      <c r="I396" s="1">
        <v>53</v>
      </c>
    </row>
    <row r="397" spans="1:9" x14ac:dyDescent="0.25">
      <c r="A397" s="2" t="s">
        <v>1</v>
      </c>
      <c r="B397" s="1" t="s">
        <v>12</v>
      </c>
      <c r="C397" s="77" t="s">
        <v>42</v>
      </c>
      <c r="D397" s="77">
        <f>COUNTIF($C$2:C397,C397)</f>
        <v>86</v>
      </c>
      <c r="E397" s="1" t="s">
        <v>73</v>
      </c>
      <c r="F397" s="1" t="s">
        <v>14</v>
      </c>
      <c r="G397" s="1">
        <v>41</v>
      </c>
      <c r="H397" s="1">
        <v>58</v>
      </c>
      <c r="I397" s="1">
        <v>60</v>
      </c>
    </row>
    <row r="398" spans="1:9" x14ac:dyDescent="0.25">
      <c r="A398" s="2" t="s">
        <v>1</v>
      </c>
      <c r="B398" s="1" t="s">
        <v>12</v>
      </c>
      <c r="C398" s="77" t="s">
        <v>42</v>
      </c>
      <c r="D398" s="77">
        <f>COUNTIF($C$2:C398,C398)</f>
        <v>87</v>
      </c>
      <c r="E398" s="1" t="s">
        <v>73</v>
      </c>
      <c r="F398" s="1" t="s">
        <v>14</v>
      </c>
      <c r="G398" s="1">
        <v>36</v>
      </c>
      <c r="H398" s="1">
        <v>45</v>
      </c>
      <c r="I398" s="1">
        <v>44</v>
      </c>
    </row>
    <row r="399" spans="1:9" x14ac:dyDescent="0.25">
      <c r="A399" s="2" t="s">
        <v>1</v>
      </c>
      <c r="B399" s="1" t="s">
        <v>12</v>
      </c>
      <c r="C399" s="77" t="s">
        <v>42</v>
      </c>
      <c r="D399" s="77">
        <f>COUNTIF($C$2:C399,C399)</f>
        <v>88</v>
      </c>
      <c r="E399" s="1" t="s">
        <v>73</v>
      </c>
      <c r="F399" s="1" t="s">
        <v>15</v>
      </c>
      <c r="G399" s="1">
        <v>64</v>
      </c>
      <c r="H399" s="1">
        <v>82</v>
      </c>
      <c r="I399" s="1">
        <v>80</v>
      </c>
    </row>
    <row r="400" spans="1:9" x14ac:dyDescent="0.25">
      <c r="A400" s="2" t="s">
        <v>1</v>
      </c>
      <c r="B400" s="1" t="s">
        <v>12</v>
      </c>
      <c r="C400" s="77" t="s">
        <v>42</v>
      </c>
      <c r="D400" s="77">
        <f>COUNTIF($C$2:C400,C400)</f>
        <v>89</v>
      </c>
      <c r="E400" s="1" t="s">
        <v>73</v>
      </c>
      <c r="F400" s="1" t="s">
        <v>15</v>
      </c>
      <c r="G400" s="1">
        <v>64</v>
      </c>
      <c r="H400" s="1">
        <v>66</v>
      </c>
      <c r="I400" s="1">
        <v>62</v>
      </c>
    </row>
    <row r="401" spans="1:9" x14ac:dyDescent="0.25">
      <c r="A401" s="2" t="s">
        <v>1</v>
      </c>
      <c r="B401" s="1" t="s">
        <v>12</v>
      </c>
      <c r="C401" s="77" t="s">
        <v>42</v>
      </c>
      <c r="D401" s="77">
        <f>COUNTIF($C$2:C401,C401)</f>
        <v>90</v>
      </c>
      <c r="E401" s="1" t="s">
        <v>73</v>
      </c>
      <c r="F401" s="1" t="s">
        <v>15</v>
      </c>
      <c r="G401" s="1">
        <v>66</v>
      </c>
      <c r="H401" s="1">
        <v>71</v>
      </c>
      <c r="I401" s="1">
        <v>87</v>
      </c>
    </row>
    <row r="402" spans="1:9" x14ac:dyDescent="0.25">
      <c r="A402" s="2" t="s">
        <v>1</v>
      </c>
      <c r="B402" s="1" t="s">
        <v>12</v>
      </c>
      <c r="C402" s="78" t="s">
        <v>52</v>
      </c>
      <c r="D402" s="78">
        <f>COUNTIF($C$2:C402,C402)</f>
        <v>33</v>
      </c>
      <c r="E402" s="1" t="s">
        <v>7</v>
      </c>
      <c r="F402" s="1" t="s">
        <v>14</v>
      </c>
      <c r="G402" s="1">
        <v>78</v>
      </c>
      <c r="H402" s="1">
        <v>80</v>
      </c>
      <c r="I402" s="1">
        <v>79</v>
      </c>
    </row>
    <row r="403" spans="1:9" x14ac:dyDescent="0.25">
      <c r="A403" s="2" t="s">
        <v>1</v>
      </c>
      <c r="B403" s="1" t="s">
        <v>12</v>
      </c>
      <c r="C403" s="78" t="s">
        <v>52</v>
      </c>
      <c r="D403" s="78">
        <f>COUNTIF($C$2:C403,C403)</f>
        <v>34</v>
      </c>
      <c r="E403" s="1" t="s">
        <v>7</v>
      </c>
      <c r="F403" s="1" t="s">
        <v>14</v>
      </c>
      <c r="G403" s="1">
        <v>58</v>
      </c>
      <c r="H403" s="1">
        <v>61</v>
      </c>
      <c r="I403" s="1">
        <v>59</v>
      </c>
    </row>
    <row r="404" spans="1:9" x14ac:dyDescent="0.25">
      <c r="A404" s="2" t="s">
        <v>1</v>
      </c>
      <c r="B404" s="1" t="s">
        <v>12</v>
      </c>
      <c r="C404" s="78" t="s">
        <v>52</v>
      </c>
      <c r="D404" s="78">
        <f>COUNTIF($C$2:C404,C404)</f>
        <v>35</v>
      </c>
      <c r="E404" s="1" t="s">
        <v>7</v>
      </c>
      <c r="F404" s="1" t="s">
        <v>14</v>
      </c>
      <c r="G404" s="1">
        <v>41</v>
      </c>
      <c r="H404" s="1">
        <v>51</v>
      </c>
      <c r="I404" s="1">
        <v>53</v>
      </c>
    </row>
    <row r="405" spans="1:9" x14ac:dyDescent="0.25">
      <c r="A405" s="2" t="s">
        <v>1</v>
      </c>
      <c r="B405" s="1" t="s">
        <v>12</v>
      </c>
      <c r="C405" s="78" t="s">
        <v>52</v>
      </c>
      <c r="D405" s="78">
        <f>COUNTIF($C$2:C405,C405)</f>
        <v>36</v>
      </c>
      <c r="E405" s="1" t="s">
        <v>7</v>
      </c>
      <c r="F405" s="1" t="s">
        <v>15</v>
      </c>
      <c r="G405" s="1">
        <v>60</v>
      </c>
      <c r="H405" s="1">
        <v>74</v>
      </c>
      <c r="I405" s="1">
        <v>72</v>
      </c>
    </row>
    <row r="406" spans="1:9" x14ac:dyDescent="0.25">
      <c r="A406" s="2" t="s">
        <v>1</v>
      </c>
      <c r="B406" s="1" t="s">
        <v>12</v>
      </c>
      <c r="C406" s="78" t="s">
        <v>52</v>
      </c>
      <c r="D406" s="78">
        <f>COUNTIF($C$2:C406,C406)</f>
        <v>37</v>
      </c>
      <c r="E406" s="1" t="s">
        <v>7</v>
      </c>
      <c r="F406" s="1" t="s">
        <v>15</v>
      </c>
      <c r="G406" s="1">
        <v>83</v>
      </c>
      <c r="H406" s="1">
        <v>100</v>
      </c>
      <c r="I406" s="1">
        <v>100</v>
      </c>
    </row>
    <row r="407" spans="1:9" x14ac:dyDescent="0.25">
      <c r="A407" s="2" t="s">
        <v>1</v>
      </c>
      <c r="B407" s="1" t="s">
        <v>12</v>
      </c>
      <c r="C407" s="78" t="s">
        <v>52</v>
      </c>
      <c r="D407" s="78">
        <f>COUNTIF($C$2:C407,C407)</f>
        <v>38</v>
      </c>
      <c r="E407" s="1" t="s">
        <v>73</v>
      </c>
      <c r="F407" s="1" t="s">
        <v>14</v>
      </c>
      <c r="G407" s="1">
        <v>69</v>
      </c>
      <c r="H407" s="1">
        <v>85</v>
      </c>
      <c r="I407" s="1">
        <v>83</v>
      </c>
    </row>
    <row r="408" spans="1:9" x14ac:dyDescent="0.25">
      <c r="A408" s="2" t="s">
        <v>1</v>
      </c>
      <c r="B408" s="1" t="s">
        <v>12</v>
      </c>
      <c r="C408" s="78" t="s">
        <v>52</v>
      </c>
      <c r="D408" s="78">
        <f>COUNTIF($C$2:C408,C408)</f>
        <v>39</v>
      </c>
      <c r="E408" s="1" t="s">
        <v>73</v>
      </c>
      <c r="F408" s="1" t="s">
        <v>14</v>
      </c>
      <c r="G408" s="1">
        <v>73</v>
      </c>
      <c r="H408" s="1">
        <v>85</v>
      </c>
      <c r="I408" s="1">
        <v>83</v>
      </c>
    </row>
    <row r="409" spans="1:9" x14ac:dyDescent="0.25">
      <c r="A409" s="2" t="s">
        <v>1</v>
      </c>
      <c r="B409" s="1" t="s">
        <v>12</v>
      </c>
      <c r="C409" s="78" t="s">
        <v>52</v>
      </c>
      <c r="D409" s="78">
        <f>COUNTIF($C$2:C409,C409)</f>
        <v>40</v>
      </c>
      <c r="E409" s="1" t="s">
        <v>73</v>
      </c>
      <c r="F409" s="1" t="s">
        <v>14</v>
      </c>
      <c r="G409" s="1">
        <v>68</v>
      </c>
      <c r="H409" s="1">
        <v>79</v>
      </c>
      <c r="I409" s="1">
        <v>78</v>
      </c>
    </row>
    <row r="410" spans="1:9" x14ac:dyDescent="0.25">
      <c r="A410" s="2" t="s">
        <v>1</v>
      </c>
      <c r="B410" s="1" t="s">
        <v>12</v>
      </c>
      <c r="C410" s="78" t="s">
        <v>52</v>
      </c>
      <c r="D410" s="78">
        <f>COUNTIF($C$2:C410,C410)</f>
        <v>41</v>
      </c>
      <c r="E410" s="1" t="s">
        <v>73</v>
      </c>
      <c r="F410" s="1" t="s">
        <v>15</v>
      </c>
      <c r="G410" s="1">
        <v>59</v>
      </c>
      <c r="H410" s="1">
        <v>78</v>
      </c>
      <c r="I410" s="1">
        <v>80</v>
      </c>
    </row>
    <row r="411" spans="1:9" x14ac:dyDescent="0.25">
      <c r="A411" s="2" t="s">
        <v>1</v>
      </c>
      <c r="B411" s="1" t="s">
        <v>12</v>
      </c>
      <c r="C411" s="78" t="s">
        <v>52</v>
      </c>
      <c r="D411" s="78">
        <f>COUNTIF($C$2:C411,C411)</f>
        <v>42</v>
      </c>
      <c r="E411" s="1" t="s">
        <v>73</v>
      </c>
      <c r="F411" s="1" t="s">
        <v>15</v>
      </c>
      <c r="G411" s="1">
        <v>64</v>
      </c>
      <c r="H411" s="1">
        <v>77</v>
      </c>
      <c r="I411" s="1">
        <v>77</v>
      </c>
    </row>
    <row r="412" spans="1:9" x14ac:dyDescent="0.25">
      <c r="A412" s="2" t="s">
        <v>1</v>
      </c>
      <c r="B412" s="1" t="s">
        <v>12</v>
      </c>
      <c r="C412" s="78" t="s">
        <v>52</v>
      </c>
      <c r="D412" s="78">
        <f>COUNTIF($C$2:C412,C412)</f>
        <v>43</v>
      </c>
      <c r="E412" s="1" t="s">
        <v>73</v>
      </c>
      <c r="F412" s="1" t="s">
        <v>15</v>
      </c>
      <c r="G412" s="1">
        <v>81</v>
      </c>
      <c r="H412" s="1">
        <v>96</v>
      </c>
      <c r="I412" s="1">
        <v>99</v>
      </c>
    </row>
    <row r="413" spans="1:9" x14ac:dyDescent="0.25">
      <c r="A413" s="2" t="s">
        <v>1</v>
      </c>
      <c r="B413" s="1" t="s">
        <v>12</v>
      </c>
      <c r="C413" s="78" t="s">
        <v>52</v>
      </c>
      <c r="D413" s="78">
        <f>COUNTIF($C$2:C413,C413)</f>
        <v>44</v>
      </c>
      <c r="E413" s="1" t="s">
        <v>73</v>
      </c>
      <c r="F413" s="1" t="s">
        <v>15</v>
      </c>
      <c r="G413" s="1">
        <v>45</v>
      </c>
      <c r="H413" s="1">
        <v>68</v>
      </c>
      <c r="I413" s="1">
        <v>71</v>
      </c>
    </row>
    <row r="414" spans="1:9" x14ac:dyDescent="0.25">
      <c r="A414" s="2" t="s">
        <v>1</v>
      </c>
      <c r="B414" s="1" t="s">
        <v>12</v>
      </c>
      <c r="C414" s="79" t="s">
        <v>59</v>
      </c>
      <c r="D414" s="79">
        <f>COUNTIF($C$2:C414,C414)</f>
        <v>21</v>
      </c>
      <c r="E414" s="1" t="s">
        <v>7</v>
      </c>
      <c r="F414" s="1" t="s">
        <v>14</v>
      </c>
      <c r="G414" s="1">
        <v>67</v>
      </c>
      <c r="H414" s="1">
        <v>75</v>
      </c>
      <c r="I414" s="1">
        <v>80</v>
      </c>
    </row>
    <row r="415" spans="1:9" x14ac:dyDescent="0.25">
      <c r="A415" s="2" t="s">
        <v>1</v>
      </c>
      <c r="B415" s="1" t="s">
        <v>12</v>
      </c>
      <c r="C415" s="79" t="s">
        <v>59</v>
      </c>
      <c r="D415" s="79">
        <f>COUNTIF($C$2:C415,C415)</f>
        <v>22</v>
      </c>
      <c r="E415" s="1" t="s">
        <v>7</v>
      </c>
      <c r="F415" s="1" t="s">
        <v>14</v>
      </c>
      <c r="G415" s="1">
        <v>62</v>
      </c>
      <c r="H415" s="1">
        <v>71</v>
      </c>
      <c r="I415" s="1">
        <v>74</v>
      </c>
    </row>
    <row r="416" spans="1:9" x14ac:dyDescent="0.25">
      <c r="A416" s="2" t="s">
        <v>1</v>
      </c>
      <c r="B416" s="1" t="s">
        <v>12</v>
      </c>
      <c r="C416" s="79" t="s">
        <v>59</v>
      </c>
      <c r="D416" s="79">
        <f>COUNTIF($C$2:C416,C416)</f>
        <v>23</v>
      </c>
      <c r="E416" s="1" t="s">
        <v>7</v>
      </c>
      <c r="F416" s="1" t="s">
        <v>14</v>
      </c>
      <c r="G416" s="1">
        <v>44</v>
      </c>
      <c r="H416" s="1">
        <v>39</v>
      </c>
      <c r="I416" s="1">
        <v>37</v>
      </c>
    </row>
    <row r="417" spans="1:9" x14ac:dyDescent="0.25">
      <c r="A417" s="2" t="s">
        <v>1</v>
      </c>
      <c r="B417" s="1" t="s">
        <v>12</v>
      </c>
      <c r="C417" s="79" t="s">
        <v>59</v>
      </c>
      <c r="D417" s="79">
        <f>COUNTIF($C$2:C417,C417)</f>
        <v>24</v>
      </c>
      <c r="E417" s="1" t="s">
        <v>7</v>
      </c>
      <c r="F417" s="1" t="s">
        <v>14</v>
      </c>
      <c r="G417" s="1">
        <v>65</v>
      </c>
      <c r="H417" s="1">
        <v>73</v>
      </c>
      <c r="I417" s="1">
        <v>77</v>
      </c>
    </row>
    <row r="418" spans="1:9" x14ac:dyDescent="0.25">
      <c r="A418" s="2" t="s">
        <v>1</v>
      </c>
      <c r="B418" s="1" t="s">
        <v>12</v>
      </c>
      <c r="C418" s="79" t="s">
        <v>59</v>
      </c>
      <c r="D418" s="79">
        <f>COUNTIF($C$2:C418,C418)</f>
        <v>25</v>
      </c>
      <c r="E418" s="1" t="s">
        <v>7</v>
      </c>
      <c r="F418" s="1" t="s">
        <v>14</v>
      </c>
      <c r="G418" s="1">
        <v>69</v>
      </c>
      <c r="H418" s="1">
        <v>67</v>
      </c>
      <c r="I418" s="1">
        <v>78</v>
      </c>
    </row>
    <row r="419" spans="1:9" x14ac:dyDescent="0.25">
      <c r="A419" s="2" t="s">
        <v>1</v>
      </c>
      <c r="B419" s="1" t="s">
        <v>12</v>
      </c>
      <c r="C419" s="79" t="s">
        <v>59</v>
      </c>
      <c r="D419" s="79">
        <f>COUNTIF($C$2:C419,C419)</f>
        <v>26</v>
      </c>
      <c r="E419" s="1" t="s">
        <v>7</v>
      </c>
      <c r="F419" s="1" t="s">
        <v>15</v>
      </c>
      <c r="G419" s="1">
        <v>64</v>
      </c>
      <c r="H419" s="1">
        <v>67</v>
      </c>
      <c r="I419" s="1">
        <v>72</v>
      </c>
    </row>
    <row r="420" spans="1:9" x14ac:dyDescent="0.25">
      <c r="A420" s="2" t="s">
        <v>1</v>
      </c>
      <c r="B420" s="1" t="s">
        <v>12</v>
      </c>
      <c r="C420" s="79" t="s">
        <v>59</v>
      </c>
      <c r="D420" s="79">
        <f>COUNTIF($C$2:C420,C420)</f>
        <v>27</v>
      </c>
      <c r="E420" s="1" t="s">
        <v>7</v>
      </c>
      <c r="F420" s="1" t="s">
        <v>15</v>
      </c>
      <c r="G420" s="1">
        <v>87</v>
      </c>
      <c r="H420" s="1">
        <v>95</v>
      </c>
      <c r="I420" s="1">
        <v>100</v>
      </c>
    </row>
    <row r="421" spans="1:9" x14ac:dyDescent="0.25">
      <c r="A421" s="2" t="s">
        <v>1</v>
      </c>
      <c r="B421" s="1" t="s">
        <v>12</v>
      </c>
      <c r="C421" s="79" t="s">
        <v>59</v>
      </c>
      <c r="D421" s="79">
        <f>COUNTIF($C$2:C421,C421)</f>
        <v>28</v>
      </c>
      <c r="E421" s="1" t="s">
        <v>73</v>
      </c>
      <c r="F421" s="1" t="s">
        <v>14</v>
      </c>
      <c r="G421" s="1">
        <v>32</v>
      </c>
      <c r="H421" s="1">
        <v>35</v>
      </c>
      <c r="I421" s="1">
        <v>37</v>
      </c>
    </row>
    <row r="422" spans="1:9" x14ac:dyDescent="0.25">
      <c r="A422" s="2" t="s">
        <v>1</v>
      </c>
      <c r="B422" s="1" t="s">
        <v>12</v>
      </c>
      <c r="C422" s="79" t="s">
        <v>59</v>
      </c>
      <c r="D422" s="79">
        <f>COUNTIF($C$2:C422,C422)</f>
        <v>29</v>
      </c>
      <c r="E422" s="1" t="s">
        <v>73</v>
      </c>
      <c r="F422" s="1" t="s">
        <v>14</v>
      </c>
      <c r="G422" s="1">
        <v>93</v>
      </c>
      <c r="H422" s="1">
        <v>98</v>
      </c>
      <c r="I422" s="1">
        <v>94</v>
      </c>
    </row>
    <row r="423" spans="1:9" x14ac:dyDescent="0.25">
      <c r="A423" s="2" t="s">
        <v>1</v>
      </c>
      <c r="B423" s="1" t="s">
        <v>12</v>
      </c>
      <c r="C423" s="79" t="s">
        <v>59</v>
      </c>
      <c r="D423" s="79">
        <f>COUNTIF($C$2:C423,C423)</f>
        <v>30</v>
      </c>
      <c r="E423" s="1" t="s">
        <v>73</v>
      </c>
      <c r="F423" s="1" t="s">
        <v>14</v>
      </c>
      <c r="G423" s="1">
        <v>73</v>
      </c>
      <c r="H423" s="1">
        <v>72</v>
      </c>
      <c r="I423" s="1">
        <v>75</v>
      </c>
    </row>
    <row r="424" spans="1:9" x14ac:dyDescent="0.25">
      <c r="A424" s="2" t="s">
        <v>1</v>
      </c>
      <c r="B424" s="1" t="s">
        <v>19</v>
      </c>
      <c r="C424" s="74" t="s">
        <v>53</v>
      </c>
      <c r="D424" s="74">
        <f>COUNTIF($C$2:C424,C424)</f>
        <v>71</v>
      </c>
      <c r="E424" s="1" t="s">
        <v>7</v>
      </c>
      <c r="F424" s="1" t="s">
        <v>14</v>
      </c>
      <c r="G424" s="1">
        <v>52</v>
      </c>
      <c r="H424" s="1">
        <v>71</v>
      </c>
      <c r="I424" s="1">
        <v>70</v>
      </c>
    </row>
    <row r="425" spans="1:9" x14ac:dyDescent="0.25">
      <c r="A425" s="2" t="s">
        <v>1</v>
      </c>
      <c r="B425" s="1" t="s">
        <v>19</v>
      </c>
      <c r="C425" s="74" t="s">
        <v>53</v>
      </c>
      <c r="D425" s="74">
        <f>COUNTIF($C$2:C425,C425)</f>
        <v>72</v>
      </c>
      <c r="E425" s="1" t="s">
        <v>7</v>
      </c>
      <c r="F425" s="1" t="s">
        <v>14</v>
      </c>
      <c r="G425" s="1">
        <v>48</v>
      </c>
      <c r="H425" s="1">
        <v>60</v>
      </c>
      <c r="I425" s="1">
        <v>57</v>
      </c>
    </row>
    <row r="426" spans="1:9" x14ac:dyDescent="0.25">
      <c r="A426" s="2" t="s">
        <v>1</v>
      </c>
      <c r="B426" s="1" t="s">
        <v>19</v>
      </c>
      <c r="C426" s="74" t="s">
        <v>53</v>
      </c>
      <c r="D426" s="74">
        <f>COUNTIF($C$2:C426,C426)</f>
        <v>73</v>
      </c>
      <c r="E426" s="1" t="s">
        <v>7</v>
      </c>
      <c r="F426" s="1" t="s">
        <v>14</v>
      </c>
      <c r="G426" s="1">
        <v>78</v>
      </c>
      <c r="H426" s="1">
        <v>86</v>
      </c>
      <c r="I426" s="1">
        <v>80</v>
      </c>
    </row>
    <row r="427" spans="1:9" x14ac:dyDescent="0.25">
      <c r="A427" s="2" t="s">
        <v>1</v>
      </c>
      <c r="B427" s="1" t="s">
        <v>19</v>
      </c>
      <c r="C427" s="74" t="s">
        <v>53</v>
      </c>
      <c r="D427" s="74">
        <f>COUNTIF($C$2:C427,C427)</f>
        <v>74</v>
      </c>
      <c r="E427" s="1" t="s">
        <v>7</v>
      </c>
      <c r="F427" s="1" t="s">
        <v>14</v>
      </c>
      <c r="G427" s="1">
        <v>91</v>
      </c>
      <c r="H427" s="1">
        <v>97</v>
      </c>
      <c r="I427" s="1">
        <v>91</v>
      </c>
    </row>
    <row r="428" spans="1:9" x14ac:dyDescent="0.25">
      <c r="A428" s="2" t="s">
        <v>1</v>
      </c>
      <c r="B428" s="1" t="s">
        <v>19</v>
      </c>
      <c r="C428" s="74" t="s">
        <v>53</v>
      </c>
      <c r="D428" s="74">
        <f>COUNTIF($C$2:C428,C428)</f>
        <v>75</v>
      </c>
      <c r="E428" s="1" t="s">
        <v>7</v>
      </c>
      <c r="F428" s="1" t="s">
        <v>14</v>
      </c>
      <c r="G428" s="1">
        <v>87</v>
      </c>
      <c r="H428" s="1">
        <v>87</v>
      </c>
      <c r="I428" s="1">
        <v>84</v>
      </c>
    </row>
    <row r="429" spans="1:9" x14ac:dyDescent="0.25">
      <c r="A429" s="2" t="s">
        <v>1</v>
      </c>
      <c r="B429" s="1" t="s">
        <v>19</v>
      </c>
      <c r="C429" s="74" t="s">
        <v>53</v>
      </c>
      <c r="D429" s="74">
        <f>COUNTIF($C$2:C429,C429)</f>
        <v>76</v>
      </c>
      <c r="E429" s="1" t="s">
        <v>7</v>
      </c>
      <c r="F429" s="1" t="s">
        <v>15</v>
      </c>
      <c r="G429" s="1">
        <v>89</v>
      </c>
      <c r="H429" s="1">
        <v>93</v>
      </c>
      <c r="I429" s="1">
        <v>93</v>
      </c>
    </row>
    <row r="430" spans="1:9" x14ac:dyDescent="0.25">
      <c r="A430" s="2" t="s">
        <v>1</v>
      </c>
      <c r="B430" s="1" t="s">
        <v>19</v>
      </c>
      <c r="C430" s="74" t="s">
        <v>53</v>
      </c>
      <c r="D430" s="74">
        <f>COUNTIF($C$2:C430,C430)</f>
        <v>77</v>
      </c>
      <c r="E430" s="1" t="s">
        <v>7</v>
      </c>
      <c r="F430" s="1" t="s">
        <v>15</v>
      </c>
      <c r="G430" s="1">
        <v>87</v>
      </c>
      <c r="H430" s="1">
        <v>90</v>
      </c>
      <c r="I430" s="1">
        <v>90</v>
      </c>
    </row>
    <row r="431" spans="1:9" x14ac:dyDescent="0.25">
      <c r="A431" s="2" t="s">
        <v>1</v>
      </c>
      <c r="B431" s="1" t="s">
        <v>19</v>
      </c>
      <c r="C431" s="74" t="s">
        <v>53</v>
      </c>
      <c r="D431" s="74">
        <f>COUNTIF($C$2:C431,C431)</f>
        <v>78</v>
      </c>
      <c r="E431" s="1" t="s">
        <v>7</v>
      </c>
      <c r="F431" s="1" t="s">
        <v>15</v>
      </c>
      <c r="G431" s="1">
        <v>89</v>
      </c>
      <c r="H431" s="1">
        <v>95</v>
      </c>
      <c r="I431" s="1">
        <v>99</v>
      </c>
    </row>
    <row r="432" spans="1:9" x14ac:dyDescent="0.25">
      <c r="A432" s="2" t="s">
        <v>1</v>
      </c>
      <c r="B432" s="1" t="s">
        <v>19</v>
      </c>
      <c r="C432" s="74" t="s">
        <v>53</v>
      </c>
      <c r="D432" s="74">
        <f>COUNTIF($C$2:C432,C432)</f>
        <v>79</v>
      </c>
      <c r="E432" s="1" t="s">
        <v>7</v>
      </c>
      <c r="F432" s="1" t="s">
        <v>15</v>
      </c>
      <c r="G432" s="1">
        <v>90</v>
      </c>
      <c r="H432" s="1">
        <v>96</v>
      </c>
      <c r="I432" s="1">
        <v>98</v>
      </c>
    </row>
    <row r="433" spans="1:9" x14ac:dyDescent="0.25">
      <c r="A433" s="2" t="s">
        <v>1</v>
      </c>
      <c r="B433" s="1" t="s">
        <v>19</v>
      </c>
      <c r="C433" s="74" t="s">
        <v>53</v>
      </c>
      <c r="D433" s="74">
        <f>COUNTIF($C$2:C433,C433)</f>
        <v>80</v>
      </c>
      <c r="E433" s="1" t="s">
        <v>73</v>
      </c>
      <c r="F433" s="1" t="s">
        <v>14</v>
      </c>
      <c r="G433" s="1">
        <v>63</v>
      </c>
      <c r="H433" s="1">
        <v>72</v>
      </c>
      <c r="I433" s="1">
        <v>60</v>
      </c>
    </row>
    <row r="434" spans="1:9" x14ac:dyDescent="0.25">
      <c r="A434" s="2" t="s">
        <v>1</v>
      </c>
      <c r="B434" s="1" t="s">
        <v>19</v>
      </c>
      <c r="C434" s="74" t="s">
        <v>53</v>
      </c>
      <c r="D434" s="74">
        <f>COUNTIF($C$2:C434,C434)</f>
        <v>81</v>
      </c>
      <c r="E434" s="1" t="s">
        <v>73</v>
      </c>
      <c r="F434" s="1" t="s">
        <v>14</v>
      </c>
      <c r="G434" s="1">
        <v>62</v>
      </c>
      <c r="H434" s="1">
        <v>71</v>
      </c>
      <c r="I434" s="1">
        <v>61</v>
      </c>
    </row>
    <row r="435" spans="1:9" x14ac:dyDescent="0.25">
      <c r="A435" s="2" t="s">
        <v>1</v>
      </c>
      <c r="B435" s="1" t="s">
        <v>19</v>
      </c>
      <c r="C435" s="74" t="s">
        <v>53</v>
      </c>
      <c r="D435" s="74">
        <f>COUNTIF($C$2:C435,C435)</f>
        <v>82</v>
      </c>
      <c r="E435" s="1" t="s">
        <v>73</v>
      </c>
      <c r="F435" s="1" t="s">
        <v>15</v>
      </c>
      <c r="G435" s="1">
        <v>46</v>
      </c>
      <c r="H435" s="1">
        <v>57</v>
      </c>
      <c r="I435" s="1">
        <v>57</v>
      </c>
    </row>
    <row r="436" spans="1:9" x14ac:dyDescent="0.25">
      <c r="A436" s="2" t="s">
        <v>1</v>
      </c>
      <c r="B436" s="1" t="s">
        <v>19</v>
      </c>
      <c r="C436" s="74" t="s">
        <v>53</v>
      </c>
      <c r="D436" s="74">
        <f>COUNTIF($C$2:C436,C436)</f>
        <v>83</v>
      </c>
      <c r="E436" s="1" t="s">
        <v>73</v>
      </c>
      <c r="F436" s="1" t="s">
        <v>15</v>
      </c>
      <c r="G436" s="1">
        <v>65</v>
      </c>
      <c r="H436" s="1">
        <v>72</v>
      </c>
      <c r="I436" s="1">
        <v>76</v>
      </c>
    </row>
    <row r="437" spans="1:9" x14ac:dyDescent="0.25">
      <c r="A437" s="2" t="s">
        <v>1</v>
      </c>
      <c r="B437" s="1" t="s">
        <v>19</v>
      </c>
      <c r="C437" s="74" t="s">
        <v>53</v>
      </c>
      <c r="D437" s="74">
        <f>COUNTIF($C$2:C437,C437)</f>
        <v>84</v>
      </c>
      <c r="E437" s="1" t="s">
        <v>73</v>
      </c>
      <c r="F437" s="1" t="s">
        <v>15</v>
      </c>
      <c r="G437" s="1">
        <v>42</v>
      </c>
      <c r="H437" s="1">
        <v>59</v>
      </c>
      <c r="I437" s="1">
        <v>59</v>
      </c>
    </row>
    <row r="438" spans="1:9" x14ac:dyDescent="0.25">
      <c r="A438" s="2" t="s">
        <v>1</v>
      </c>
      <c r="B438" s="1" t="s">
        <v>19</v>
      </c>
      <c r="C438" s="75" t="s">
        <v>6</v>
      </c>
      <c r="D438" s="75">
        <f>COUNTIF($C$2:C438,C438)</f>
        <v>99</v>
      </c>
      <c r="E438" s="1" t="s">
        <v>7</v>
      </c>
      <c r="F438" s="1" t="s">
        <v>14</v>
      </c>
      <c r="G438" s="1">
        <v>59</v>
      </c>
      <c r="H438" s="1">
        <v>52</v>
      </c>
      <c r="I438" s="1">
        <v>56</v>
      </c>
    </row>
    <row r="439" spans="1:9" x14ac:dyDescent="0.25">
      <c r="A439" s="2" t="s">
        <v>1</v>
      </c>
      <c r="B439" s="1" t="s">
        <v>19</v>
      </c>
      <c r="C439" s="75" t="s">
        <v>6</v>
      </c>
      <c r="D439" s="75">
        <f>COUNTIF($C$2:C439,C439)</f>
        <v>100</v>
      </c>
      <c r="E439" s="1" t="s">
        <v>7</v>
      </c>
      <c r="F439" s="1" t="s">
        <v>14</v>
      </c>
      <c r="G439" s="1">
        <v>90</v>
      </c>
      <c r="H439" s="1">
        <v>96</v>
      </c>
      <c r="I439" s="1">
        <v>88</v>
      </c>
    </row>
    <row r="440" spans="1:9" x14ac:dyDescent="0.25">
      <c r="A440" s="2" t="s">
        <v>1</v>
      </c>
      <c r="B440" s="1" t="s">
        <v>19</v>
      </c>
      <c r="C440" s="75" t="s">
        <v>6</v>
      </c>
      <c r="D440" s="75">
        <f>COUNTIF($C$2:C440,C440)</f>
        <v>101</v>
      </c>
      <c r="E440" s="1" t="s">
        <v>7</v>
      </c>
      <c r="F440" s="1" t="s">
        <v>14</v>
      </c>
      <c r="G440" s="1">
        <v>61</v>
      </c>
      <c r="H440" s="1">
        <v>61</v>
      </c>
      <c r="I440" s="1">
        <v>57</v>
      </c>
    </row>
    <row r="441" spans="1:9" x14ac:dyDescent="0.25">
      <c r="A441" s="2" t="s">
        <v>1</v>
      </c>
      <c r="B441" s="1" t="s">
        <v>19</v>
      </c>
      <c r="C441" s="75" t="s">
        <v>6</v>
      </c>
      <c r="D441" s="75">
        <f>COUNTIF($C$2:C441,C441)</f>
        <v>102</v>
      </c>
      <c r="E441" s="1" t="s">
        <v>7</v>
      </c>
      <c r="F441" s="1" t="s">
        <v>14</v>
      </c>
      <c r="G441" s="1">
        <v>86</v>
      </c>
      <c r="H441" s="1">
        <v>89</v>
      </c>
      <c r="I441" s="1">
        <v>87</v>
      </c>
    </row>
    <row r="442" spans="1:9" x14ac:dyDescent="0.25">
      <c r="A442" s="2" t="s">
        <v>1</v>
      </c>
      <c r="B442" s="1" t="s">
        <v>19</v>
      </c>
      <c r="C442" s="75" t="s">
        <v>6</v>
      </c>
      <c r="D442" s="75">
        <f>COUNTIF($C$2:C442,C442)</f>
        <v>103</v>
      </c>
      <c r="E442" s="1" t="s">
        <v>7</v>
      </c>
      <c r="F442" s="1" t="s">
        <v>14</v>
      </c>
      <c r="G442" s="1">
        <v>71</v>
      </c>
      <c r="H442" s="1">
        <v>83</v>
      </c>
      <c r="I442" s="1">
        <v>79</v>
      </c>
    </row>
    <row r="443" spans="1:9" x14ac:dyDescent="0.25">
      <c r="A443" s="2" t="s">
        <v>1</v>
      </c>
      <c r="B443" s="1" t="s">
        <v>19</v>
      </c>
      <c r="C443" s="75" t="s">
        <v>6</v>
      </c>
      <c r="D443" s="75">
        <f>COUNTIF($C$2:C443,C443)</f>
        <v>104</v>
      </c>
      <c r="E443" s="1" t="s">
        <v>7</v>
      </c>
      <c r="F443" s="1" t="s">
        <v>14</v>
      </c>
      <c r="G443" s="1">
        <v>85</v>
      </c>
      <c r="H443" s="1">
        <v>86</v>
      </c>
      <c r="I443" s="1">
        <v>88</v>
      </c>
    </row>
    <row r="444" spans="1:9" x14ac:dyDescent="0.25">
      <c r="A444" s="2" t="s">
        <v>1</v>
      </c>
      <c r="B444" s="1" t="s">
        <v>19</v>
      </c>
      <c r="C444" s="75" t="s">
        <v>6</v>
      </c>
      <c r="D444" s="75">
        <f>COUNTIF($C$2:C444,C444)</f>
        <v>105</v>
      </c>
      <c r="E444" s="1" t="s">
        <v>7</v>
      </c>
      <c r="F444" s="1" t="s">
        <v>14</v>
      </c>
      <c r="G444" s="1">
        <v>54</v>
      </c>
      <c r="H444" s="1">
        <v>56</v>
      </c>
      <c r="I444" s="1">
        <v>56</v>
      </c>
    </row>
    <row r="445" spans="1:9" x14ac:dyDescent="0.25">
      <c r="A445" s="2" t="s">
        <v>1</v>
      </c>
      <c r="B445" s="1" t="s">
        <v>19</v>
      </c>
      <c r="C445" s="75" t="s">
        <v>6</v>
      </c>
      <c r="D445" s="75">
        <f>COUNTIF($C$2:C445,C445)</f>
        <v>106</v>
      </c>
      <c r="E445" s="1" t="s">
        <v>7</v>
      </c>
      <c r="F445" s="1" t="s">
        <v>14</v>
      </c>
      <c r="G445" s="1">
        <v>92</v>
      </c>
      <c r="H445" s="1">
        <v>94</v>
      </c>
      <c r="I445" s="1">
        <v>94</v>
      </c>
    </row>
    <row r="446" spans="1:9" x14ac:dyDescent="0.25">
      <c r="A446" s="2" t="s">
        <v>1</v>
      </c>
      <c r="B446" s="1" t="s">
        <v>19</v>
      </c>
      <c r="C446" s="75" t="s">
        <v>6</v>
      </c>
      <c r="D446" s="75">
        <f>COUNTIF($C$2:C446,C446)</f>
        <v>107</v>
      </c>
      <c r="E446" s="1" t="s">
        <v>7</v>
      </c>
      <c r="F446" s="1" t="s">
        <v>14</v>
      </c>
      <c r="G446" s="1">
        <v>79</v>
      </c>
      <c r="H446" s="1">
        <v>78</v>
      </c>
      <c r="I446" s="1">
        <v>83</v>
      </c>
    </row>
    <row r="447" spans="1:9" x14ac:dyDescent="0.25">
      <c r="A447" s="2" t="s">
        <v>1</v>
      </c>
      <c r="B447" s="1" t="s">
        <v>19</v>
      </c>
      <c r="C447" s="75" t="s">
        <v>6</v>
      </c>
      <c r="D447" s="75">
        <f>COUNTIF($C$2:C447,C447)</f>
        <v>108</v>
      </c>
      <c r="E447" s="1" t="s">
        <v>73</v>
      </c>
      <c r="F447" s="1" t="s">
        <v>14</v>
      </c>
      <c r="G447" s="1">
        <v>74</v>
      </c>
      <c r="H447" s="1">
        <v>88</v>
      </c>
      <c r="I447" s="1">
        <v>75</v>
      </c>
    </row>
    <row r="448" spans="1:9" x14ac:dyDescent="0.25">
      <c r="A448" s="2" t="s">
        <v>1</v>
      </c>
      <c r="B448" s="1" t="s">
        <v>19</v>
      </c>
      <c r="C448" s="75" t="s">
        <v>6</v>
      </c>
      <c r="D448" s="75">
        <f>COUNTIF($C$2:C448,C448)</f>
        <v>109</v>
      </c>
      <c r="E448" s="1" t="s">
        <v>73</v>
      </c>
      <c r="F448" s="1" t="s">
        <v>14</v>
      </c>
      <c r="G448" s="1">
        <v>62</v>
      </c>
      <c r="H448" s="1">
        <v>70</v>
      </c>
      <c r="I448" s="1">
        <v>64</v>
      </c>
    </row>
    <row r="449" spans="1:9" x14ac:dyDescent="0.25">
      <c r="A449" s="2" t="s">
        <v>1</v>
      </c>
      <c r="B449" s="1" t="s">
        <v>19</v>
      </c>
      <c r="C449" s="75" t="s">
        <v>6</v>
      </c>
      <c r="D449" s="75">
        <f>COUNTIF($C$2:C449,C449)</f>
        <v>110</v>
      </c>
      <c r="E449" s="1" t="s">
        <v>73</v>
      </c>
      <c r="F449" s="1" t="s">
        <v>14</v>
      </c>
      <c r="G449" s="1">
        <v>85</v>
      </c>
      <c r="H449" s="1">
        <v>91</v>
      </c>
      <c r="I449" s="1">
        <v>88</v>
      </c>
    </row>
    <row r="450" spans="1:9" x14ac:dyDescent="0.25">
      <c r="A450" s="2" t="s">
        <v>1</v>
      </c>
      <c r="B450" s="1" t="s">
        <v>19</v>
      </c>
      <c r="C450" s="75" t="s">
        <v>6</v>
      </c>
      <c r="D450" s="75">
        <f>COUNTIF($C$2:C450,C450)</f>
        <v>111</v>
      </c>
      <c r="E450" s="1" t="s">
        <v>73</v>
      </c>
      <c r="F450" s="1" t="s">
        <v>15</v>
      </c>
      <c r="G450" s="1">
        <v>65</v>
      </c>
      <c r="H450" s="1">
        <v>77</v>
      </c>
      <c r="I450" s="1">
        <v>74</v>
      </c>
    </row>
    <row r="451" spans="1:9" x14ac:dyDescent="0.25">
      <c r="A451" s="2" t="s">
        <v>1</v>
      </c>
      <c r="B451" s="1" t="s">
        <v>19</v>
      </c>
      <c r="C451" s="75" t="s">
        <v>6</v>
      </c>
      <c r="D451" s="75">
        <f>COUNTIF($C$2:C451,C451)</f>
        <v>112</v>
      </c>
      <c r="E451" s="1" t="s">
        <v>73</v>
      </c>
      <c r="F451" s="1" t="s">
        <v>15</v>
      </c>
      <c r="G451" s="1">
        <v>59</v>
      </c>
      <c r="H451" s="1">
        <v>68</v>
      </c>
      <c r="I451" s="1">
        <v>68</v>
      </c>
    </row>
    <row r="452" spans="1:9" x14ac:dyDescent="0.25">
      <c r="A452" s="2" t="s">
        <v>1</v>
      </c>
      <c r="B452" s="1" t="s">
        <v>19</v>
      </c>
      <c r="C452" s="75" t="s">
        <v>6</v>
      </c>
      <c r="D452" s="75">
        <f>COUNTIF($C$2:C452,C452)</f>
        <v>113</v>
      </c>
      <c r="E452" s="1" t="s">
        <v>73</v>
      </c>
      <c r="F452" s="1" t="s">
        <v>15</v>
      </c>
      <c r="G452" s="1">
        <v>68</v>
      </c>
      <c r="H452" s="1">
        <v>69</v>
      </c>
      <c r="I452" s="1">
        <v>71</v>
      </c>
    </row>
    <row r="453" spans="1:9" x14ac:dyDescent="0.25">
      <c r="A453" s="2" t="s">
        <v>1</v>
      </c>
      <c r="B453" s="1" t="s">
        <v>19</v>
      </c>
      <c r="C453" s="75" t="s">
        <v>6</v>
      </c>
      <c r="D453" s="75">
        <f>COUNTIF($C$2:C453,C453)</f>
        <v>114</v>
      </c>
      <c r="E453" s="1" t="s">
        <v>73</v>
      </c>
      <c r="F453" s="1" t="s">
        <v>15</v>
      </c>
      <c r="G453" s="1">
        <v>66</v>
      </c>
      <c r="H453" s="1">
        <v>66</v>
      </c>
      <c r="I453" s="1">
        <v>75</v>
      </c>
    </row>
    <row r="454" spans="1:9" x14ac:dyDescent="0.25">
      <c r="A454" s="2" t="s">
        <v>1</v>
      </c>
      <c r="B454" s="1" t="s">
        <v>19</v>
      </c>
      <c r="C454" s="75" t="s">
        <v>6</v>
      </c>
      <c r="D454" s="75">
        <f>COUNTIF($C$2:C454,C454)</f>
        <v>115</v>
      </c>
      <c r="E454" s="1" t="s">
        <v>73</v>
      </c>
      <c r="F454" s="1" t="s">
        <v>15</v>
      </c>
      <c r="G454" s="1">
        <v>70</v>
      </c>
      <c r="H454" s="1">
        <v>77</v>
      </c>
      <c r="I454" s="1">
        <v>86</v>
      </c>
    </row>
    <row r="455" spans="1:9" x14ac:dyDescent="0.25">
      <c r="A455" s="2" t="s">
        <v>1</v>
      </c>
      <c r="B455" s="1" t="s">
        <v>19</v>
      </c>
      <c r="C455" s="75" t="s">
        <v>6</v>
      </c>
      <c r="D455" s="75">
        <f>COUNTIF($C$2:C455,C455)</f>
        <v>116</v>
      </c>
      <c r="E455" s="1" t="s">
        <v>73</v>
      </c>
      <c r="F455" s="1" t="s">
        <v>15</v>
      </c>
      <c r="G455" s="1">
        <v>80</v>
      </c>
      <c r="H455" s="1">
        <v>94</v>
      </c>
      <c r="I455" s="1">
        <v>97</v>
      </c>
    </row>
    <row r="456" spans="1:9" x14ac:dyDescent="0.25">
      <c r="A456" s="2" t="s">
        <v>1</v>
      </c>
      <c r="B456" s="1" t="s">
        <v>19</v>
      </c>
      <c r="C456" s="76" t="s">
        <v>54</v>
      </c>
      <c r="D456" s="76">
        <f>COUNTIF($C$2:C456,C456)</f>
        <v>91</v>
      </c>
      <c r="E456" s="1" t="s">
        <v>7</v>
      </c>
      <c r="F456" s="1" t="s">
        <v>14</v>
      </c>
      <c r="G456" s="1">
        <v>82</v>
      </c>
      <c r="H456" s="1">
        <v>83</v>
      </c>
      <c r="I456" s="1">
        <v>80</v>
      </c>
    </row>
    <row r="457" spans="1:9" x14ac:dyDescent="0.25">
      <c r="A457" s="2" t="s">
        <v>1</v>
      </c>
      <c r="B457" s="1" t="s">
        <v>19</v>
      </c>
      <c r="C457" s="76" t="s">
        <v>54</v>
      </c>
      <c r="D457" s="76">
        <f>COUNTIF($C$2:C457,C457)</f>
        <v>92</v>
      </c>
      <c r="E457" s="1" t="s">
        <v>7</v>
      </c>
      <c r="F457" s="1" t="s">
        <v>14</v>
      </c>
      <c r="G457" s="1">
        <v>80</v>
      </c>
      <c r="H457" s="1">
        <v>79</v>
      </c>
      <c r="I457" s="1">
        <v>71</v>
      </c>
    </row>
    <row r="458" spans="1:9" x14ac:dyDescent="0.25">
      <c r="A458" s="2" t="s">
        <v>1</v>
      </c>
      <c r="B458" s="1" t="s">
        <v>19</v>
      </c>
      <c r="C458" s="76" t="s">
        <v>54</v>
      </c>
      <c r="D458" s="76">
        <f>COUNTIF($C$2:C458,C458)</f>
        <v>93</v>
      </c>
      <c r="E458" s="1" t="s">
        <v>7</v>
      </c>
      <c r="F458" s="1" t="s">
        <v>14</v>
      </c>
      <c r="G458" s="1">
        <v>75</v>
      </c>
      <c r="H458" s="1">
        <v>70</v>
      </c>
      <c r="I458" s="1">
        <v>71</v>
      </c>
    </row>
    <row r="459" spans="1:9" x14ac:dyDescent="0.25">
      <c r="A459" s="2" t="s">
        <v>1</v>
      </c>
      <c r="B459" s="1" t="s">
        <v>19</v>
      </c>
      <c r="C459" s="76" t="s">
        <v>54</v>
      </c>
      <c r="D459" s="76">
        <f>COUNTIF($C$2:C459,C459)</f>
        <v>94</v>
      </c>
      <c r="E459" s="1" t="s">
        <v>7</v>
      </c>
      <c r="F459" s="1" t="s">
        <v>14</v>
      </c>
      <c r="G459" s="1">
        <v>96</v>
      </c>
      <c r="H459" s="1">
        <v>93</v>
      </c>
      <c r="I459" s="1">
        <v>100</v>
      </c>
    </row>
    <row r="460" spans="1:9" x14ac:dyDescent="0.25">
      <c r="A460" s="2" t="s">
        <v>1</v>
      </c>
      <c r="B460" s="1" t="s">
        <v>19</v>
      </c>
      <c r="C460" s="76" t="s">
        <v>54</v>
      </c>
      <c r="D460" s="76">
        <f>COUNTIF($C$2:C460,C460)</f>
        <v>95</v>
      </c>
      <c r="E460" s="1" t="s">
        <v>7</v>
      </c>
      <c r="F460" s="1" t="s">
        <v>14</v>
      </c>
      <c r="G460" s="1">
        <v>92</v>
      </c>
      <c r="H460" s="1">
        <v>100</v>
      </c>
      <c r="I460" s="1">
        <v>99</v>
      </c>
    </row>
    <row r="461" spans="1:9" x14ac:dyDescent="0.25">
      <c r="A461" s="2" t="s">
        <v>1</v>
      </c>
      <c r="B461" s="1" t="s">
        <v>19</v>
      </c>
      <c r="C461" s="76" t="s">
        <v>54</v>
      </c>
      <c r="D461" s="76">
        <f>COUNTIF($C$2:C461,C461)</f>
        <v>96</v>
      </c>
      <c r="E461" s="1" t="s">
        <v>7</v>
      </c>
      <c r="F461" s="1" t="s">
        <v>15</v>
      </c>
      <c r="G461" s="1">
        <v>86</v>
      </c>
      <c r="H461" s="1">
        <v>89</v>
      </c>
      <c r="I461" s="1">
        <v>96</v>
      </c>
    </row>
    <row r="462" spans="1:9" x14ac:dyDescent="0.25">
      <c r="A462" s="2" t="s">
        <v>1</v>
      </c>
      <c r="B462" s="1" t="s">
        <v>19</v>
      </c>
      <c r="C462" s="76" t="s">
        <v>54</v>
      </c>
      <c r="D462" s="76">
        <f>COUNTIF($C$2:C462,C462)</f>
        <v>97</v>
      </c>
      <c r="E462" s="1" t="s">
        <v>73</v>
      </c>
      <c r="F462" s="1" t="s">
        <v>14</v>
      </c>
      <c r="G462" s="1">
        <v>80</v>
      </c>
      <c r="H462" s="1">
        <v>82</v>
      </c>
      <c r="I462" s="1">
        <v>85</v>
      </c>
    </row>
    <row r="463" spans="1:9" x14ac:dyDescent="0.25">
      <c r="A463" s="2" t="s">
        <v>1</v>
      </c>
      <c r="B463" s="1" t="s">
        <v>19</v>
      </c>
      <c r="C463" s="76" t="s">
        <v>54</v>
      </c>
      <c r="D463" s="76">
        <f>COUNTIF($C$2:C463,C463)</f>
        <v>98</v>
      </c>
      <c r="E463" s="1" t="s">
        <v>73</v>
      </c>
      <c r="F463" s="1" t="s">
        <v>14</v>
      </c>
      <c r="G463" s="1">
        <v>80</v>
      </c>
      <c r="H463" s="1">
        <v>80</v>
      </c>
      <c r="I463" s="1">
        <v>83</v>
      </c>
    </row>
    <row r="464" spans="1:9" x14ac:dyDescent="0.25">
      <c r="A464" s="2" t="s">
        <v>1</v>
      </c>
      <c r="B464" s="1" t="s">
        <v>19</v>
      </c>
      <c r="C464" s="76" t="s">
        <v>54</v>
      </c>
      <c r="D464" s="76">
        <f>COUNTIF($C$2:C464,C464)</f>
        <v>99</v>
      </c>
      <c r="E464" s="1" t="s">
        <v>73</v>
      </c>
      <c r="F464" s="1" t="s">
        <v>14</v>
      </c>
      <c r="G464" s="1">
        <v>60</v>
      </c>
      <c r="H464" s="1">
        <v>74</v>
      </c>
      <c r="I464" s="1">
        <v>68</v>
      </c>
    </row>
    <row r="465" spans="1:9" x14ac:dyDescent="0.25">
      <c r="A465" s="2" t="s">
        <v>1</v>
      </c>
      <c r="B465" s="1" t="s">
        <v>19</v>
      </c>
      <c r="C465" s="76" t="s">
        <v>54</v>
      </c>
      <c r="D465" s="76">
        <f>COUNTIF($C$2:C465,C465)</f>
        <v>100</v>
      </c>
      <c r="E465" s="1" t="s">
        <v>73</v>
      </c>
      <c r="F465" s="1" t="s">
        <v>14</v>
      </c>
      <c r="G465" s="1">
        <v>83</v>
      </c>
      <c r="H465" s="1">
        <v>90</v>
      </c>
      <c r="I465" s="1">
        <v>95</v>
      </c>
    </row>
    <row r="466" spans="1:9" x14ac:dyDescent="0.25">
      <c r="A466" s="2" t="s">
        <v>1</v>
      </c>
      <c r="B466" s="1" t="s">
        <v>19</v>
      </c>
      <c r="C466" s="76" t="s">
        <v>54</v>
      </c>
      <c r="D466" s="76">
        <f>COUNTIF($C$2:C466,C466)</f>
        <v>101</v>
      </c>
      <c r="E466" s="1" t="s">
        <v>73</v>
      </c>
      <c r="F466" s="1" t="s">
        <v>15</v>
      </c>
      <c r="G466" s="1">
        <v>83</v>
      </c>
      <c r="H466" s="1">
        <v>86</v>
      </c>
      <c r="I466" s="1">
        <v>91</v>
      </c>
    </row>
    <row r="467" spans="1:9" x14ac:dyDescent="0.25">
      <c r="A467" s="2" t="s">
        <v>1</v>
      </c>
      <c r="B467" s="1" t="s">
        <v>19</v>
      </c>
      <c r="C467" s="77" t="s">
        <v>42</v>
      </c>
      <c r="D467" s="77">
        <f>COUNTIF($C$2:C467,C467)</f>
        <v>91</v>
      </c>
      <c r="E467" s="1" t="s">
        <v>7</v>
      </c>
      <c r="F467" s="1" t="s">
        <v>14</v>
      </c>
      <c r="G467" s="1">
        <v>83</v>
      </c>
      <c r="H467" s="1">
        <v>90</v>
      </c>
      <c r="I467" s="1">
        <v>88</v>
      </c>
    </row>
    <row r="468" spans="1:9" x14ac:dyDescent="0.25">
      <c r="A468" s="2" t="s">
        <v>1</v>
      </c>
      <c r="B468" s="1" t="s">
        <v>19</v>
      </c>
      <c r="C468" s="77" t="s">
        <v>42</v>
      </c>
      <c r="D468" s="77">
        <f>COUNTIF($C$2:C468,C468)</f>
        <v>92</v>
      </c>
      <c r="E468" s="1" t="s">
        <v>7</v>
      </c>
      <c r="F468" s="1" t="s">
        <v>14</v>
      </c>
      <c r="G468" s="1">
        <v>74</v>
      </c>
      <c r="H468" s="1">
        <v>77</v>
      </c>
      <c r="I468" s="1">
        <v>73</v>
      </c>
    </row>
    <row r="469" spans="1:9" x14ac:dyDescent="0.25">
      <c r="A469" s="2" t="s">
        <v>1</v>
      </c>
      <c r="B469" s="1" t="s">
        <v>19</v>
      </c>
      <c r="C469" s="77" t="s">
        <v>42</v>
      </c>
      <c r="D469" s="77">
        <f>COUNTIF($C$2:C469,C469)</f>
        <v>93</v>
      </c>
      <c r="E469" s="1" t="s">
        <v>7</v>
      </c>
      <c r="F469" s="1" t="s">
        <v>14</v>
      </c>
      <c r="G469" s="1">
        <v>89</v>
      </c>
      <c r="H469" s="1">
        <v>93</v>
      </c>
      <c r="I469" s="1">
        <v>98</v>
      </c>
    </row>
    <row r="470" spans="1:9" x14ac:dyDescent="0.25">
      <c r="A470" s="2" t="s">
        <v>1</v>
      </c>
      <c r="B470" s="1" t="s">
        <v>19</v>
      </c>
      <c r="C470" s="77" t="s">
        <v>42</v>
      </c>
      <c r="D470" s="77">
        <f>COUNTIF($C$2:C470,C470)</f>
        <v>94</v>
      </c>
      <c r="E470" s="1" t="s">
        <v>7</v>
      </c>
      <c r="F470" s="1" t="s">
        <v>14</v>
      </c>
      <c r="G470" s="1">
        <v>62</v>
      </c>
      <c r="H470" s="1">
        <v>65</v>
      </c>
      <c r="I470" s="1">
        <v>65</v>
      </c>
    </row>
    <row r="471" spans="1:9" x14ac:dyDescent="0.25">
      <c r="A471" s="2" t="s">
        <v>1</v>
      </c>
      <c r="B471" s="1" t="s">
        <v>19</v>
      </c>
      <c r="C471" s="77" t="s">
        <v>42</v>
      </c>
      <c r="D471" s="77">
        <f>COUNTIF($C$2:C471,C471)</f>
        <v>95</v>
      </c>
      <c r="E471" s="1" t="s">
        <v>7</v>
      </c>
      <c r="F471" s="1" t="s">
        <v>14</v>
      </c>
      <c r="G471" s="1">
        <v>64</v>
      </c>
      <c r="H471" s="1">
        <v>68</v>
      </c>
      <c r="I471" s="1">
        <v>60</v>
      </c>
    </row>
    <row r="472" spans="1:9" x14ac:dyDescent="0.25">
      <c r="A472" s="2" t="s">
        <v>1</v>
      </c>
      <c r="B472" s="1" t="s">
        <v>19</v>
      </c>
      <c r="C472" s="77" t="s">
        <v>42</v>
      </c>
      <c r="D472" s="77">
        <f>COUNTIF($C$2:C472,C472)</f>
        <v>96</v>
      </c>
      <c r="E472" s="1" t="s">
        <v>7</v>
      </c>
      <c r="F472" s="1" t="s">
        <v>15</v>
      </c>
      <c r="G472" s="1">
        <v>89</v>
      </c>
      <c r="H472" s="1">
        <v>94</v>
      </c>
      <c r="I472" s="1">
        <v>94</v>
      </c>
    </row>
    <row r="473" spans="1:9" x14ac:dyDescent="0.25">
      <c r="A473" s="2" t="s">
        <v>1</v>
      </c>
      <c r="B473" s="1" t="s">
        <v>19</v>
      </c>
      <c r="C473" s="77" t="s">
        <v>42</v>
      </c>
      <c r="D473" s="77">
        <f>COUNTIF($C$2:C473,C473)</f>
        <v>97</v>
      </c>
      <c r="E473" s="1" t="s">
        <v>7</v>
      </c>
      <c r="F473" s="1" t="s">
        <v>15</v>
      </c>
      <c r="G473" s="1">
        <v>86</v>
      </c>
      <c r="H473" s="1">
        <v>89</v>
      </c>
      <c r="I473" s="1">
        <v>89</v>
      </c>
    </row>
    <row r="474" spans="1:9" x14ac:dyDescent="0.25">
      <c r="A474" s="2" t="s">
        <v>1</v>
      </c>
      <c r="B474" s="1" t="s">
        <v>19</v>
      </c>
      <c r="C474" s="77" t="s">
        <v>42</v>
      </c>
      <c r="D474" s="77">
        <f>COUNTIF($C$2:C474,C474)</f>
        <v>98</v>
      </c>
      <c r="E474" s="1" t="s">
        <v>7</v>
      </c>
      <c r="F474" s="1" t="s">
        <v>15</v>
      </c>
      <c r="G474" s="1">
        <v>78</v>
      </c>
      <c r="H474" s="1">
        <v>83</v>
      </c>
      <c r="I474" s="1">
        <v>76</v>
      </c>
    </row>
    <row r="475" spans="1:9" x14ac:dyDescent="0.25">
      <c r="A475" s="2" t="s">
        <v>1</v>
      </c>
      <c r="B475" s="1" t="s">
        <v>19</v>
      </c>
      <c r="C475" s="77" t="s">
        <v>42</v>
      </c>
      <c r="D475" s="77">
        <f>COUNTIF($C$2:C475,C475)</f>
        <v>99</v>
      </c>
      <c r="E475" s="1" t="s">
        <v>7</v>
      </c>
      <c r="F475" s="1" t="s">
        <v>15</v>
      </c>
      <c r="G475" s="1">
        <v>96</v>
      </c>
      <c r="H475" s="1">
        <v>98</v>
      </c>
      <c r="I475" s="1">
        <v>100</v>
      </c>
    </row>
    <row r="476" spans="1:9" x14ac:dyDescent="0.25">
      <c r="A476" s="2" t="s">
        <v>1</v>
      </c>
      <c r="B476" s="1" t="s">
        <v>19</v>
      </c>
      <c r="C476" s="77" t="s">
        <v>42</v>
      </c>
      <c r="D476" s="77">
        <f>COUNTIF($C$2:C476,C476)</f>
        <v>100</v>
      </c>
      <c r="E476" s="1" t="s">
        <v>7</v>
      </c>
      <c r="F476" s="1" t="s">
        <v>15</v>
      </c>
      <c r="G476" s="1">
        <v>82</v>
      </c>
      <c r="H476" s="1">
        <v>85</v>
      </c>
      <c r="I476" s="1">
        <v>91</v>
      </c>
    </row>
    <row r="477" spans="1:9" x14ac:dyDescent="0.25">
      <c r="A477" s="2" t="s">
        <v>1</v>
      </c>
      <c r="B477" s="1" t="s">
        <v>19</v>
      </c>
      <c r="C477" s="77" t="s">
        <v>42</v>
      </c>
      <c r="D477" s="77">
        <f>COUNTIF($C$2:C477,C477)</f>
        <v>101</v>
      </c>
      <c r="E477" s="1" t="s">
        <v>7</v>
      </c>
      <c r="F477" s="1" t="s">
        <v>15</v>
      </c>
      <c r="G477" s="1">
        <v>68</v>
      </c>
      <c r="H477" s="1">
        <v>78</v>
      </c>
      <c r="I477" s="1">
        <v>77</v>
      </c>
    </row>
    <row r="478" spans="1:9" x14ac:dyDescent="0.25">
      <c r="A478" s="2" t="s">
        <v>1</v>
      </c>
      <c r="B478" s="1" t="s">
        <v>19</v>
      </c>
      <c r="C478" s="77" t="s">
        <v>42</v>
      </c>
      <c r="D478" s="77">
        <f>COUNTIF($C$2:C478,C478)</f>
        <v>102</v>
      </c>
      <c r="E478" s="1" t="s">
        <v>73</v>
      </c>
      <c r="F478" s="1" t="s">
        <v>14</v>
      </c>
      <c r="G478" s="1">
        <v>69</v>
      </c>
      <c r="H478" s="1">
        <v>74</v>
      </c>
      <c r="I478" s="1">
        <v>75</v>
      </c>
    </row>
    <row r="479" spans="1:9" x14ac:dyDescent="0.25">
      <c r="A479" s="2" t="s">
        <v>1</v>
      </c>
      <c r="B479" s="1" t="s">
        <v>19</v>
      </c>
      <c r="C479" s="77" t="s">
        <v>42</v>
      </c>
      <c r="D479" s="77">
        <f>COUNTIF($C$2:C479,C479)</f>
        <v>103</v>
      </c>
      <c r="E479" s="1" t="s">
        <v>73</v>
      </c>
      <c r="F479" s="1" t="s">
        <v>14</v>
      </c>
      <c r="G479" s="1">
        <v>41</v>
      </c>
      <c r="H479" s="1">
        <v>60</v>
      </c>
      <c r="I479" s="1">
        <v>55</v>
      </c>
    </row>
    <row r="480" spans="1:9" x14ac:dyDescent="0.25">
      <c r="A480" s="2" t="s">
        <v>1</v>
      </c>
      <c r="B480" s="1" t="s">
        <v>19</v>
      </c>
      <c r="C480" s="77" t="s">
        <v>42</v>
      </c>
      <c r="D480" s="77">
        <f>COUNTIF($C$2:C480,C480)</f>
        <v>104</v>
      </c>
      <c r="E480" s="1" t="s">
        <v>73</v>
      </c>
      <c r="F480" s="1" t="s">
        <v>14</v>
      </c>
      <c r="G480" s="1">
        <v>74</v>
      </c>
      <c r="H480" s="1">
        <v>78</v>
      </c>
      <c r="I480" s="1">
        <v>81</v>
      </c>
    </row>
    <row r="481" spans="1:9" x14ac:dyDescent="0.25">
      <c r="A481" s="2" t="s">
        <v>1</v>
      </c>
      <c r="B481" s="1" t="s">
        <v>19</v>
      </c>
      <c r="C481" s="77" t="s">
        <v>42</v>
      </c>
      <c r="D481" s="77">
        <f>COUNTIF($C$2:C481,C481)</f>
        <v>105</v>
      </c>
      <c r="E481" s="1" t="s">
        <v>73</v>
      </c>
      <c r="F481" s="1" t="s">
        <v>14</v>
      </c>
      <c r="G481" s="1">
        <v>84</v>
      </c>
      <c r="H481" s="1">
        <v>88</v>
      </c>
      <c r="I481" s="1">
        <v>82</v>
      </c>
    </row>
    <row r="482" spans="1:9" x14ac:dyDescent="0.25">
      <c r="A482" s="2" t="s">
        <v>1</v>
      </c>
      <c r="B482" s="1" t="s">
        <v>19</v>
      </c>
      <c r="C482" s="77" t="s">
        <v>42</v>
      </c>
      <c r="D482" s="77">
        <f>COUNTIF($C$2:C482,C482)</f>
        <v>106</v>
      </c>
      <c r="E482" s="1" t="s">
        <v>73</v>
      </c>
      <c r="F482" s="1" t="s">
        <v>14</v>
      </c>
      <c r="G482" s="1">
        <v>76</v>
      </c>
      <c r="H482" s="1">
        <v>82</v>
      </c>
      <c r="I482" s="1">
        <v>81</v>
      </c>
    </row>
    <row r="483" spans="1:9" x14ac:dyDescent="0.25">
      <c r="A483" s="2" t="s">
        <v>1</v>
      </c>
      <c r="B483" s="1" t="s">
        <v>19</v>
      </c>
      <c r="C483" s="78" t="s">
        <v>52</v>
      </c>
      <c r="D483" s="78">
        <f>COUNTIF($C$2:C483,C483)</f>
        <v>45</v>
      </c>
      <c r="E483" s="1" t="s">
        <v>7</v>
      </c>
      <c r="F483" s="1" t="s">
        <v>14</v>
      </c>
      <c r="G483" s="1">
        <v>98</v>
      </c>
      <c r="H483" s="1">
        <v>95</v>
      </c>
      <c r="I483" s="1">
        <v>100</v>
      </c>
    </row>
    <row r="484" spans="1:9" x14ac:dyDescent="0.25">
      <c r="A484" s="2" t="s">
        <v>1</v>
      </c>
      <c r="B484" s="1" t="s">
        <v>19</v>
      </c>
      <c r="C484" s="78" t="s">
        <v>52</v>
      </c>
      <c r="D484" s="78">
        <f>COUNTIF($C$2:C484,C484)</f>
        <v>46</v>
      </c>
      <c r="E484" s="1" t="s">
        <v>7</v>
      </c>
      <c r="F484" s="1" t="s">
        <v>14</v>
      </c>
      <c r="G484" s="1">
        <v>52</v>
      </c>
      <c r="H484" s="1">
        <v>53</v>
      </c>
      <c r="I484" s="1">
        <v>55</v>
      </c>
    </row>
    <row r="485" spans="1:9" x14ac:dyDescent="0.25">
      <c r="A485" s="2" t="s">
        <v>1</v>
      </c>
      <c r="B485" s="1" t="s">
        <v>19</v>
      </c>
      <c r="C485" s="78" t="s">
        <v>52</v>
      </c>
      <c r="D485" s="78">
        <f>COUNTIF($C$2:C485,C485)</f>
        <v>47</v>
      </c>
      <c r="E485" s="1" t="s">
        <v>7</v>
      </c>
      <c r="F485" s="1" t="s">
        <v>14</v>
      </c>
      <c r="G485" s="1">
        <v>66</v>
      </c>
      <c r="H485" s="1">
        <v>65</v>
      </c>
      <c r="I485" s="1">
        <v>76</v>
      </c>
    </row>
    <row r="486" spans="1:9" x14ac:dyDescent="0.25">
      <c r="A486" s="2" t="s">
        <v>1</v>
      </c>
      <c r="B486" s="1" t="s">
        <v>19</v>
      </c>
      <c r="C486" s="78" t="s">
        <v>52</v>
      </c>
      <c r="D486" s="78">
        <f>COUNTIF($C$2:C486,C486)</f>
        <v>48</v>
      </c>
      <c r="E486" s="1" t="s">
        <v>7</v>
      </c>
      <c r="F486" s="1" t="s">
        <v>14</v>
      </c>
      <c r="G486" s="1">
        <v>86</v>
      </c>
      <c r="H486" s="1">
        <v>87</v>
      </c>
      <c r="I486" s="1">
        <v>90</v>
      </c>
    </row>
    <row r="487" spans="1:9" x14ac:dyDescent="0.25">
      <c r="A487" s="2" t="s">
        <v>1</v>
      </c>
      <c r="B487" s="1" t="s">
        <v>19</v>
      </c>
      <c r="C487" s="78" t="s">
        <v>52</v>
      </c>
      <c r="D487" s="78">
        <f>COUNTIF($C$2:C487,C487)</f>
        <v>49</v>
      </c>
      <c r="E487" s="1" t="s">
        <v>7</v>
      </c>
      <c r="F487" s="1" t="s">
        <v>15</v>
      </c>
      <c r="G487" s="1">
        <v>98</v>
      </c>
      <c r="H487" s="1">
        <v>100</v>
      </c>
      <c r="I487" s="1">
        <v>99</v>
      </c>
    </row>
    <row r="488" spans="1:9" x14ac:dyDescent="0.25">
      <c r="A488" s="2" t="s">
        <v>1</v>
      </c>
      <c r="B488" s="1" t="s">
        <v>19</v>
      </c>
      <c r="C488" s="78" t="s">
        <v>52</v>
      </c>
      <c r="D488" s="78">
        <f>COUNTIF($C$2:C488,C488)</f>
        <v>50</v>
      </c>
      <c r="E488" s="1" t="s">
        <v>7</v>
      </c>
      <c r="F488" s="1" t="s">
        <v>15</v>
      </c>
      <c r="G488" s="1">
        <v>92</v>
      </c>
      <c r="H488" s="1">
        <v>87</v>
      </c>
      <c r="I488" s="1">
        <v>92</v>
      </c>
    </row>
    <row r="489" spans="1:9" x14ac:dyDescent="0.25">
      <c r="A489" s="2" t="s">
        <v>1</v>
      </c>
      <c r="B489" s="1" t="s">
        <v>19</v>
      </c>
      <c r="C489" s="78" t="s">
        <v>52</v>
      </c>
      <c r="D489" s="78">
        <f>COUNTIF($C$2:C489,C489)</f>
        <v>51</v>
      </c>
      <c r="E489" s="1" t="s">
        <v>73</v>
      </c>
      <c r="F489" s="1" t="s">
        <v>14</v>
      </c>
      <c r="G489" s="1">
        <v>63</v>
      </c>
      <c r="H489" s="1">
        <v>61</v>
      </c>
      <c r="I489" s="1">
        <v>64</v>
      </c>
    </row>
    <row r="490" spans="1:9" x14ac:dyDescent="0.25">
      <c r="A490" s="2" t="s">
        <v>1</v>
      </c>
      <c r="B490" s="1" t="s">
        <v>19</v>
      </c>
      <c r="C490" s="78" t="s">
        <v>52</v>
      </c>
      <c r="D490" s="78">
        <f>COUNTIF($C$2:C490,C490)</f>
        <v>52</v>
      </c>
      <c r="E490" s="1" t="s">
        <v>73</v>
      </c>
      <c r="F490" s="1" t="s">
        <v>15</v>
      </c>
      <c r="G490" s="1">
        <v>68</v>
      </c>
      <c r="H490" s="1">
        <v>82</v>
      </c>
      <c r="I490" s="1">
        <v>86</v>
      </c>
    </row>
    <row r="491" spans="1:9" x14ac:dyDescent="0.25">
      <c r="A491" s="2" t="s">
        <v>1</v>
      </c>
      <c r="B491" s="1" t="s">
        <v>19</v>
      </c>
      <c r="C491" s="79" t="s">
        <v>59</v>
      </c>
      <c r="D491" s="79">
        <f>COUNTIF($C$2:C491,C491)</f>
        <v>31</v>
      </c>
      <c r="E491" s="1" t="s">
        <v>7</v>
      </c>
      <c r="F491" s="1" t="s">
        <v>14</v>
      </c>
      <c r="G491" s="1">
        <v>85</v>
      </c>
      <c r="H491" s="1">
        <v>90</v>
      </c>
      <c r="I491" s="1">
        <v>88</v>
      </c>
    </row>
    <row r="492" spans="1:9" x14ac:dyDescent="0.25">
      <c r="A492" s="2" t="s">
        <v>1</v>
      </c>
      <c r="B492" s="1" t="s">
        <v>19</v>
      </c>
      <c r="C492" s="79" t="s">
        <v>59</v>
      </c>
      <c r="D492" s="79">
        <f>COUNTIF($C$2:C492,C492)</f>
        <v>32</v>
      </c>
      <c r="E492" s="1" t="s">
        <v>7</v>
      </c>
      <c r="F492" s="1" t="s">
        <v>14</v>
      </c>
      <c r="G492" s="1">
        <v>76</v>
      </c>
      <c r="H492" s="1">
        <v>77</v>
      </c>
      <c r="I492" s="1">
        <v>77</v>
      </c>
    </row>
    <row r="493" spans="1:9" x14ac:dyDescent="0.25">
      <c r="A493" s="2" t="s">
        <v>1</v>
      </c>
      <c r="B493" s="1" t="s">
        <v>19</v>
      </c>
      <c r="C493" s="79" t="s">
        <v>59</v>
      </c>
      <c r="D493" s="79">
        <f>COUNTIF($C$2:C493,C493)</f>
        <v>33</v>
      </c>
      <c r="E493" s="1" t="s">
        <v>73</v>
      </c>
      <c r="F493" s="1" t="s">
        <v>15</v>
      </c>
      <c r="G493" s="1">
        <v>74</v>
      </c>
      <c r="H493" s="1">
        <v>83</v>
      </c>
      <c r="I493" s="1">
        <v>84</v>
      </c>
    </row>
    <row r="494" spans="1:9" x14ac:dyDescent="0.25">
      <c r="A494" s="2" t="s">
        <v>2</v>
      </c>
      <c r="B494" s="1" t="s">
        <v>9</v>
      </c>
      <c r="C494" s="74" t="s">
        <v>53</v>
      </c>
      <c r="D494" s="74">
        <f>COUNTIF($C$2:C494,C494)</f>
        <v>85</v>
      </c>
      <c r="E494" s="1" t="s">
        <v>7</v>
      </c>
      <c r="F494" s="1" t="s">
        <v>14</v>
      </c>
      <c r="G494" s="1">
        <v>83</v>
      </c>
      <c r="H494" s="1">
        <v>77</v>
      </c>
      <c r="I494" s="1">
        <v>77</v>
      </c>
    </row>
    <row r="495" spans="1:9" x14ac:dyDescent="0.25">
      <c r="A495" s="2" t="s">
        <v>2</v>
      </c>
      <c r="B495" s="1" t="s">
        <v>9</v>
      </c>
      <c r="C495" s="74" t="s">
        <v>53</v>
      </c>
      <c r="D495" s="74">
        <f>COUNTIF($C$2:C495,C495)</f>
        <v>86</v>
      </c>
      <c r="E495" s="1" t="s">
        <v>7</v>
      </c>
      <c r="F495" s="1" t="s">
        <v>14</v>
      </c>
      <c r="G495" s="1">
        <v>62</v>
      </c>
      <c r="H495" s="1">
        <v>54</v>
      </c>
      <c r="I495" s="1">
        <v>52</v>
      </c>
    </row>
    <row r="496" spans="1:9" x14ac:dyDescent="0.25">
      <c r="A496" s="2" t="s">
        <v>2</v>
      </c>
      <c r="B496" s="1" t="s">
        <v>9</v>
      </c>
      <c r="C496" s="74" t="s">
        <v>53</v>
      </c>
      <c r="D496" s="74">
        <f>COUNTIF($C$2:C496,C496)</f>
        <v>87</v>
      </c>
      <c r="E496" s="1" t="s">
        <v>7</v>
      </c>
      <c r="F496" s="1" t="s">
        <v>14</v>
      </c>
      <c r="G496" s="1">
        <v>59</v>
      </c>
      <c r="H496" s="1">
        <v>60</v>
      </c>
      <c r="I496" s="1">
        <v>50</v>
      </c>
    </row>
    <row r="497" spans="1:9" x14ac:dyDescent="0.25">
      <c r="A497" s="2" t="s">
        <v>2</v>
      </c>
      <c r="B497" s="1" t="s">
        <v>9</v>
      </c>
      <c r="C497" s="74" t="s">
        <v>53</v>
      </c>
      <c r="D497" s="74">
        <f>COUNTIF($C$2:C497,C497)</f>
        <v>88</v>
      </c>
      <c r="E497" s="1" t="s">
        <v>7</v>
      </c>
      <c r="F497" s="1" t="s">
        <v>15</v>
      </c>
      <c r="G497" s="1">
        <v>79</v>
      </c>
      <c r="H497" s="1">
        <v>65</v>
      </c>
      <c r="I497" s="1">
        <v>65</v>
      </c>
    </row>
    <row r="498" spans="1:9" x14ac:dyDescent="0.25">
      <c r="A498" s="2" t="s">
        <v>2</v>
      </c>
      <c r="B498" s="1" t="s">
        <v>9</v>
      </c>
      <c r="C498" s="74" t="s">
        <v>53</v>
      </c>
      <c r="D498" s="74">
        <f>COUNTIF($C$2:C498,C498)</f>
        <v>89</v>
      </c>
      <c r="E498" s="1" t="s">
        <v>7</v>
      </c>
      <c r="F498" s="1" t="s">
        <v>15</v>
      </c>
      <c r="G498" s="1">
        <v>56</v>
      </c>
      <c r="H498" s="1">
        <v>53</v>
      </c>
      <c r="I498" s="1">
        <v>53</v>
      </c>
    </row>
    <row r="499" spans="1:9" x14ac:dyDescent="0.25">
      <c r="A499" s="2" t="s">
        <v>2</v>
      </c>
      <c r="B499" s="1" t="s">
        <v>9</v>
      </c>
      <c r="C499" s="74" t="s">
        <v>53</v>
      </c>
      <c r="D499" s="74">
        <f>COUNTIF($C$2:C499,C499)</f>
        <v>90</v>
      </c>
      <c r="E499" s="1" t="s">
        <v>7</v>
      </c>
      <c r="F499" s="1" t="s">
        <v>15</v>
      </c>
      <c r="G499" s="1">
        <v>67</v>
      </c>
      <c r="H499" s="1">
        <v>60</v>
      </c>
      <c r="I499" s="1">
        <v>69</v>
      </c>
    </row>
    <row r="500" spans="1:9" x14ac:dyDescent="0.25">
      <c r="A500" s="2" t="s">
        <v>2</v>
      </c>
      <c r="B500" s="1" t="s">
        <v>9</v>
      </c>
      <c r="C500" s="74" t="s">
        <v>53</v>
      </c>
      <c r="D500" s="74">
        <f>COUNTIF($C$2:C500,C500)</f>
        <v>91</v>
      </c>
      <c r="E500" s="1" t="s">
        <v>73</v>
      </c>
      <c r="F500" s="1" t="s">
        <v>15</v>
      </c>
      <c r="G500" s="1">
        <v>59</v>
      </c>
      <c r="H500" s="1">
        <v>55</v>
      </c>
      <c r="I500" s="1">
        <v>58</v>
      </c>
    </row>
    <row r="501" spans="1:9" x14ac:dyDescent="0.25">
      <c r="A501" s="2" t="s">
        <v>2</v>
      </c>
      <c r="B501" s="1" t="s">
        <v>9</v>
      </c>
      <c r="C501" s="75" t="s">
        <v>6</v>
      </c>
      <c r="D501" s="75">
        <f>COUNTIF($C$2:C501,C501)</f>
        <v>117</v>
      </c>
      <c r="E501" s="1" t="s">
        <v>7</v>
      </c>
      <c r="F501" s="1" t="s">
        <v>14</v>
      </c>
      <c r="G501" s="1">
        <v>78</v>
      </c>
      <c r="H501" s="1">
        <v>72</v>
      </c>
      <c r="I501" s="1">
        <v>66</v>
      </c>
    </row>
    <row r="502" spans="1:9" x14ac:dyDescent="0.25">
      <c r="A502" s="2" t="s">
        <v>2</v>
      </c>
      <c r="B502" s="1" t="s">
        <v>9</v>
      </c>
      <c r="C502" s="75" t="s">
        <v>6</v>
      </c>
      <c r="D502" s="75">
        <f>COUNTIF($C$2:C502,C502)</f>
        <v>118</v>
      </c>
      <c r="E502" s="1" t="s">
        <v>7</v>
      </c>
      <c r="F502" s="1" t="s">
        <v>14</v>
      </c>
      <c r="G502" s="1">
        <v>56</v>
      </c>
      <c r="H502" s="1">
        <v>45</v>
      </c>
      <c r="I502" s="1">
        <v>38</v>
      </c>
    </row>
    <row r="503" spans="1:9" x14ac:dyDescent="0.25">
      <c r="A503" s="2" t="s">
        <v>2</v>
      </c>
      <c r="B503" s="1" t="s">
        <v>9</v>
      </c>
      <c r="C503" s="75" t="s">
        <v>6</v>
      </c>
      <c r="D503" s="75">
        <f>COUNTIF($C$2:C503,C503)</f>
        <v>119</v>
      </c>
      <c r="E503" s="1" t="s">
        <v>7</v>
      </c>
      <c r="F503" s="1" t="s">
        <v>15</v>
      </c>
      <c r="G503" s="1">
        <v>78</v>
      </c>
      <c r="H503" s="1">
        <v>88</v>
      </c>
      <c r="I503" s="1">
        <v>85</v>
      </c>
    </row>
    <row r="504" spans="1:9" x14ac:dyDescent="0.25">
      <c r="A504" s="2" t="s">
        <v>2</v>
      </c>
      <c r="B504" s="1" t="s">
        <v>9</v>
      </c>
      <c r="C504" s="75" t="s">
        <v>6</v>
      </c>
      <c r="D504" s="75">
        <f>COUNTIF($C$2:C504,C504)</f>
        <v>120</v>
      </c>
      <c r="E504" s="1" t="s">
        <v>7</v>
      </c>
      <c r="F504" s="1" t="s">
        <v>15</v>
      </c>
      <c r="G504" s="1">
        <v>80</v>
      </c>
      <c r="H504" s="1">
        <v>72</v>
      </c>
      <c r="I504" s="1">
        <v>72</v>
      </c>
    </row>
    <row r="505" spans="1:9" x14ac:dyDescent="0.25">
      <c r="A505" s="2" t="s">
        <v>2</v>
      </c>
      <c r="B505" s="1" t="s">
        <v>9</v>
      </c>
      <c r="C505" s="75" t="s">
        <v>6</v>
      </c>
      <c r="D505" s="75">
        <f>COUNTIF($C$2:C505,C505)</f>
        <v>121</v>
      </c>
      <c r="E505" s="1" t="s">
        <v>7</v>
      </c>
      <c r="F505" s="1" t="s">
        <v>15</v>
      </c>
      <c r="G505" s="1">
        <v>83</v>
      </c>
      <c r="H505" s="1">
        <v>71</v>
      </c>
      <c r="I505" s="1">
        <v>69</v>
      </c>
    </row>
    <row r="506" spans="1:9" x14ac:dyDescent="0.25">
      <c r="A506" s="2" t="s">
        <v>2</v>
      </c>
      <c r="B506" s="1" t="s">
        <v>9</v>
      </c>
      <c r="C506" s="75" t="s">
        <v>6</v>
      </c>
      <c r="D506" s="75">
        <f>COUNTIF($C$2:C506,C506)</f>
        <v>122</v>
      </c>
      <c r="E506" s="1" t="s">
        <v>73</v>
      </c>
      <c r="F506" s="1" t="s">
        <v>14</v>
      </c>
      <c r="G506" s="1">
        <v>44</v>
      </c>
      <c r="H506" s="1">
        <v>49</v>
      </c>
      <c r="I506" s="1">
        <v>43</v>
      </c>
    </row>
    <row r="507" spans="1:9" x14ac:dyDescent="0.25">
      <c r="A507" s="2" t="s">
        <v>2</v>
      </c>
      <c r="B507" s="1" t="s">
        <v>9</v>
      </c>
      <c r="C507" s="75" t="s">
        <v>6</v>
      </c>
      <c r="D507" s="75">
        <f>COUNTIF($C$2:C507,C507)</f>
        <v>123</v>
      </c>
      <c r="E507" s="1" t="s">
        <v>73</v>
      </c>
      <c r="F507" s="1" t="s">
        <v>14</v>
      </c>
      <c r="G507" s="1">
        <v>70</v>
      </c>
      <c r="H507" s="1">
        <v>74</v>
      </c>
      <c r="I507" s="1">
        <v>65</v>
      </c>
    </row>
    <row r="508" spans="1:9" x14ac:dyDescent="0.25">
      <c r="A508" s="2" t="s">
        <v>2</v>
      </c>
      <c r="B508" s="1" t="s">
        <v>9</v>
      </c>
      <c r="C508" s="76" t="s">
        <v>54</v>
      </c>
      <c r="D508" s="76">
        <f>COUNTIF($C$2:C508,C508)</f>
        <v>102</v>
      </c>
      <c r="E508" s="1" t="s">
        <v>7</v>
      </c>
      <c r="F508" s="1" t="s">
        <v>14</v>
      </c>
      <c r="G508" s="1">
        <v>37</v>
      </c>
      <c r="H508" s="1">
        <v>40</v>
      </c>
      <c r="I508" s="1">
        <v>36</v>
      </c>
    </row>
    <row r="509" spans="1:9" x14ac:dyDescent="0.25">
      <c r="A509" s="2" t="s">
        <v>2</v>
      </c>
      <c r="B509" s="1" t="s">
        <v>9</v>
      </c>
      <c r="C509" s="76" t="s">
        <v>54</v>
      </c>
      <c r="D509" s="76">
        <f>COUNTIF($C$2:C509,C509)</f>
        <v>103</v>
      </c>
      <c r="E509" s="1" t="s">
        <v>7</v>
      </c>
      <c r="F509" s="1" t="s">
        <v>14</v>
      </c>
      <c r="G509" s="1">
        <v>60</v>
      </c>
      <c r="H509" s="1">
        <v>56</v>
      </c>
      <c r="I509" s="1">
        <v>57</v>
      </c>
    </row>
    <row r="510" spans="1:9" x14ac:dyDescent="0.25">
      <c r="A510" s="2" t="s">
        <v>2</v>
      </c>
      <c r="B510" s="1" t="s">
        <v>9</v>
      </c>
      <c r="C510" s="76" t="s">
        <v>54</v>
      </c>
      <c r="D510" s="76">
        <f>COUNTIF($C$2:C510,C510)</f>
        <v>104</v>
      </c>
      <c r="E510" s="1" t="s">
        <v>7</v>
      </c>
      <c r="F510" s="1" t="s">
        <v>14</v>
      </c>
      <c r="G510" s="1">
        <v>83</v>
      </c>
      <c r="H510" s="1">
        <v>83</v>
      </c>
      <c r="I510" s="1">
        <v>70</v>
      </c>
    </row>
    <row r="511" spans="1:9" x14ac:dyDescent="0.25">
      <c r="A511" s="2" t="s">
        <v>2</v>
      </c>
      <c r="B511" s="1" t="s">
        <v>9</v>
      </c>
      <c r="C511" s="76" t="s">
        <v>54</v>
      </c>
      <c r="D511" s="76">
        <f>COUNTIF($C$2:C511,C511)</f>
        <v>105</v>
      </c>
      <c r="E511" s="1" t="s">
        <v>7</v>
      </c>
      <c r="F511" s="1" t="s">
        <v>15</v>
      </c>
      <c r="G511" s="1">
        <v>96</v>
      </c>
      <c r="H511" s="1">
        <v>82</v>
      </c>
      <c r="I511" s="1">
        <v>90</v>
      </c>
    </row>
    <row r="512" spans="1:9" x14ac:dyDescent="0.25">
      <c r="A512" s="2" t="s">
        <v>2</v>
      </c>
      <c r="B512" s="1" t="s">
        <v>9</v>
      </c>
      <c r="C512" s="76" t="s">
        <v>54</v>
      </c>
      <c r="D512" s="76">
        <f>COUNTIF($C$2:C512,C512)</f>
        <v>106</v>
      </c>
      <c r="E512" s="1" t="s">
        <v>7</v>
      </c>
      <c r="F512" s="1" t="s">
        <v>15</v>
      </c>
      <c r="G512" s="1">
        <v>85</v>
      </c>
      <c r="H512" s="1">
        <v>75</v>
      </c>
      <c r="I512" s="1">
        <v>74</v>
      </c>
    </row>
    <row r="513" spans="1:9" x14ac:dyDescent="0.25">
      <c r="A513" s="2" t="s">
        <v>2</v>
      </c>
      <c r="B513" s="1" t="s">
        <v>9</v>
      </c>
      <c r="C513" s="76" t="s">
        <v>54</v>
      </c>
      <c r="D513" s="76">
        <f>COUNTIF($C$2:C513,C513)</f>
        <v>107</v>
      </c>
      <c r="E513" s="1" t="s">
        <v>7</v>
      </c>
      <c r="F513" s="1" t="s">
        <v>15</v>
      </c>
      <c r="G513" s="1">
        <v>79</v>
      </c>
      <c r="H513" s="1">
        <v>65</v>
      </c>
      <c r="I513" s="1">
        <v>69</v>
      </c>
    </row>
    <row r="514" spans="1:9" x14ac:dyDescent="0.25">
      <c r="A514" s="2" t="s">
        <v>2</v>
      </c>
      <c r="B514" s="1" t="s">
        <v>9</v>
      </c>
      <c r="C514" s="76" t="s">
        <v>54</v>
      </c>
      <c r="D514" s="76">
        <f>COUNTIF($C$2:C514,C514)</f>
        <v>108</v>
      </c>
      <c r="E514" s="1" t="s">
        <v>7</v>
      </c>
      <c r="F514" s="1" t="s">
        <v>15</v>
      </c>
      <c r="G514" s="1">
        <v>55</v>
      </c>
      <c r="H514" s="1">
        <v>62</v>
      </c>
      <c r="I514" s="1">
        <v>58</v>
      </c>
    </row>
    <row r="515" spans="1:9" x14ac:dyDescent="0.25">
      <c r="A515" s="2" t="s">
        <v>2</v>
      </c>
      <c r="B515" s="1" t="s">
        <v>9</v>
      </c>
      <c r="C515" s="76" t="s">
        <v>54</v>
      </c>
      <c r="D515" s="76">
        <f>COUNTIF($C$2:C515,C515)</f>
        <v>109</v>
      </c>
      <c r="E515" s="1" t="s">
        <v>73</v>
      </c>
      <c r="F515" s="1" t="s">
        <v>15</v>
      </c>
      <c r="G515" s="1">
        <v>56</v>
      </c>
      <c r="H515" s="1">
        <v>60</v>
      </c>
      <c r="I515" s="1">
        <v>63</v>
      </c>
    </row>
    <row r="516" spans="1:9" x14ac:dyDescent="0.25">
      <c r="A516" s="2" t="s">
        <v>2</v>
      </c>
      <c r="B516" s="1" t="s">
        <v>9</v>
      </c>
      <c r="C516" s="76" t="s">
        <v>54</v>
      </c>
      <c r="D516" s="76">
        <f>COUNTIF($C$2:C516,C516)</f>
        <v>110</v>
      </c>
      <c r="E516" s="1" t="s">
        <v>73</v>
      </c>
      <c r="F516" s="1" t="s">
        <v>15</v>
      </c>
      <c r="G516" s="1">
        <v>68</v>
      </c>
      <c r="H516" s="1">
        <v>71</v>
      </c>
      <c r="I516" s="1">
        <v>64</v>
      </c>
    </row>
    <row r="517" spans="1:9" x14ac:dyDescent="0.25">
      <c r="A517" s="2" t="s">
        <v>2</v>
      </c>
      <c r="B517" s="1" t="s">
        <v>9</v>
      </c>
      <c r="C517" s="76" t="s">
        <v>54</v>
      </c>
      <c r="D517" s="76">
        <f>COUNTIF($C$2:C517,C517)</f>
        <v>111</v>
      </c>
      <c r="E517" s="1" t="s">
        <v>73</v>
      </c>
      <c r="F517" s="1" t="s">
        <v>15</v>
      </c>
      <c r="G517" s="1">
        <v>69</v>
      </c>
      <c r="H517" s="1">
        <v>77</v>
      </c>
      <c r="I517" s="1">
        <v>77</v>
      </c>
    </row>
    <row r="518" spans="1:9" x14ac:dyDescent="0.25">
      <c r="A518" s="2" t="s">
        <v>2</v>
      </c>
      <c r="B518" s="1" t="s">
        <v>9</v>
      </c>
      <c r="C518" s="76" t="s">
        <v>54</v>
      </c>
      <c r="D518" s="76">
        <f>COUNTIF($C$2:C518,C518)</f>
        <v>112</v>
      </c>
      <c r="E518" s="1" t="s">
        <v>73</v>
      </c>
      <c r="F518" s="1" t="s">
        <v>15</v>
      </c>
      <c r="G518" s="1">
        <v>63</v>
      </c>
      <c r="H518" s="1">
        <v>61</v>
      </c>
      <c r="I518" s="1">
        <v>64</v>
      </c>
    </row>
    <row r="519" spans="1:9" x14ac:dyDescent="0.25">
      <c r="A519" s="2" t="s">
        <v>2</v>
      </c>
      <c r="B519" s="1" t="s">
        <v>9</v>
      </c>
      <c r="C519" s="76" t="s">
        <v>54</v>
      </c>
      <c r="D519" s="76">
        <f>COUNTIF($C$2:C519,C519)</f>
        <v>113</v>
      </c>
      <c r="E519" s="1" t="s">
        <v>73</v>
      </c>
      <c r="F519" s="1" t="s">
        <v>15</v>
      </c>
      <c r="G519" s="1">
        <v>75</v>
      </c>
      <c r="H519" s="1">
        <v>67</v>
      </c>
      <c r="I519" s="1">
        <v>67</v>
      </c>
    </row>
    <row r="520" spans="1:9" x14ac:dyDescent="0.25">
      <c r="A520" s="2" t="s">
        <v>2</v>
      </c>
      <c r="B520" s="1" t="s">
        <v>9</v>
      </c>
      <c r="C520" s="77" t="s">
        <v>42</v>
      </c>
      <c r="D520" s="77">
        <f>COUNTIF($C$2:C520,C520)</f>
        <v>107</v>
      </c>
      <c r="E520" s="1" t="s">
        <v>7</v>
      </c>
      <c r="F520" s="1" t="s">
        <v>14</v>
      </c>
      <c r="G520" s="1">
        <v>70</v>
      </c>
      <c r="H520" s="1">
        <v>73</v>
      </c>
      <c r="I520" s="1">
        <v>70</v>
      </c>
    </row>
    <row r="521" spans="1:9" x14ac:dyDescent="0.25">
      <c r="A521" s="2" t="s">
        <v>2</v>
      </c>
      <c r="B521" s="1" t="s">
        <v>9</v>
      </c>
      <c r="C521" s="77" t="s">
        <v>42</v>
      </c>
      <c r="D521" s="77">
        <f>COUNTIF($C$2:C521,C521)</f>
        <v>108</v>
      </c>
      <c r="E521" s="1" t="s">
        <v>7</v>
      </c>
      <c r="F521" s="1" t="s">
        <v>14</v>
      </c>
      <c r="G521" s="1">
        <v>62</v>
      </c>
      <c r="H521" s="1">
        <v>58</v>
      </c>
      <c r="I521" s="1">
        <v>57</v>
      </c>
    </row>
    <row r="522" spans="1:9" x14ac:dyDescent="0.25">
      <c r="A522" s="2" t="s">
        <v>2</v>
      </c>
      <c r="B522" s="1" t="s">
        <v>9</v>
      </c>
      <c r="C522" s="77" t="s">
        <v>42</v>
      </c>
      <c r="D522" s="77">
        <f>COUNTIF($C$2:C522,C522)</f>
        <v>109</v>
      </c>
      <c r="E522" s="1" t="s">
        <v>7</v>
      </c>
      <c r="F522" s="1" t="s">
        <v>14</v>
      </c>
      <c r="G522" s="1">
        <v>77</v>
      </c>
      <c r="H522" s="1">
        <v>73</v>
      </c>
      <c r="I522" s="1">
        <v>69</v>
      </c>
    </row>
    <row r="523" spans="1:9" x14ac:dyDescent="0.25">
      <c r="A523" s="2" t="s">
        <v>2</v>
      </c>
      <c r="B523" s="1" t="s">
        <v>9</v>
      </c>
      <c r="C523" s="77" t="s">
        <v>42</v>
      </c>
      <c r="D523" s="77">
        <f>COUNTIF($C$2:C523,C523)</f>
        <v>110</v>
      </c>
      <c r="E523" s="1" t="s">
        <v>7</v>
      </c>
      <c r="F523" s="1" t="s">
        <v>14</v>
      </c>
      <c r="G523" s="1">
        <v>72</v>
      </c>
      <c r="H523" s="1">
        <v>77</v>
      </c>
      <c r="I523" s="1">
        <v>67</v>
      </c>
    </row>
    <row r="524" spans="1:9" x14ac:dyDescent="0.25">
      <c r="A524" s="2" t="s">
        <v>2</v>
      </c>
      <c r="B524" s="1" t="s">
        <v>9</v>
      </c>
      <c r="C524" s="77" t="s">
        <v>42</v>
      </c>
      <c r="D524" s="77">
        <f>COUNTIF($C$2:C524,C524)</f>
        <v>111</v>
      </c>
      <c r="E524" s="1" t="s">
        <v>7</v>
      </c>
      <c r="F524" s="1" t="s">
        <v>14</v>
      </c>
      <c r="G524" s="1">
        <v>58</v>
      </c>
      <c r="H524" s="1">
        <v>64</v>
      </c>
      <c r="I524" s="1">
        <v>55</v>
      </c>
    </row>
    <row r="525" spans="1:9" x14ac:dyDescent="0.25">
      <c r="A525" s="2" t="s">
        <v>2</v>
      </c>
      <c r="B525" s="1" t="s">
        <v>9</v>
      </c>
      <c r="C525" s="77" t="s">
        <v>42</v>
      </c>
      <c r="D525" s="77">
        <f>COUNTIF($C$2:C525,C525)</f>
        <v>112</v>
      </c>
      <c r="E525" s="1" t="s">
        <v>7</v>
      </c>
      <c r="F525" s="1" t="s">
        <v>14</v>
      </c>
      <c r="G525" s="1">
        <v>82</v>
      </c>
      <c r="H525" s="1">
        <v>68</v>
      </c>
      <c r="I525" s="1">
        <v>63</v>
      </c>
    </row>
    <row r="526" spans="1:9" x14ac:dyDescent="0.25">
      <c r="A526" s="2" t="s">
        <v>2</v>
      </c>
      <c r="B526" s="1" t="s">
        <v>9</v>
      </c>
      <c r="C526" s="77" t="s">
        <v>42</v>
      </c>
      <c r="D526" s="77">
        <f>COUNTIF($C$2:C526,C526)</f>
        <v>113</v>
      </c>
      <c r="E526" s="1" t="s">
        <v>7</v>
      </c>
      <c r="F526" s="1" t="s">
        <v>15</v>
      </c>
      <c r="G526" s="1">
        <v>92</v>
      </c>
      <c r="H526" s="1">
        <v>86</v>
      </c>
      <c r="I526" s="1">
        <v>88</v>
      </c>
    </row>
    <row r="527" spans="1:9" x14ac:dyDescent="0.25">
      <c r="A527" s="2" t="s">
        <v>2</v>
      </c>
      <c r="B527" s="1" t="s">
        <v>9</v>
      </c>
      <c r="C527" s="77" t="s">
        <v>42</v>
      </c>
      <c r="D527" s="77">
        <f>COUNTIF($C$2:C527,C527)</f>
        <v>114</v>
      </c>
      <c r="E527" s="1" t="s">
        <v>7</v>
      </c>
      <c r="F527" s="1" t="s">
        <v>15</v>
      </c>
      <c r="G527" s="1">
        <v>56</v>
      </c>
      <c r="H527" s="1">
        <v>51</v>
      </c>
      <c r="I527" s="1">
        <v>44</v>
      </c>
    </row>
    <row r="528" spans="1:9" x14ac:dyDescent="0.25">
      <c r="A528" s="2" t="s">
        <v>2</v>
      </c>
      <c r="B528" s="1" t="s">
        <v>9</v>
      </c>
      <c r="C528" s="77" t="s">
        <v>42</v>
      </c>
      <c r="D528" s="77">
        <f>COUNTIF($C$2:C528,C528)</f>
        <v>115</v>
      </c>
      <c r="E528" s="1" t="s">
        <v>73</v>
      </c>
      <c r="F528" s="1" t="s">
        <v>14</v>
      </c>
      <c r="G528" s="1">
        <v>43</v>
      </c>
      <c r="H528" s="1">
        <v>43</v>
      </c>
      <c r="I528" s="1">
        <v>40</v>
      </c>
    </row>
    <row r="529" spans="1:9" x14ac:dyDescent="0.25">
      <c r="A529" s="2" t="s">
        <v>2</v>
      </c>
      <c r="B529" s="1" t="s">
        <v>9</v>
      </c>
      <c r="C529" s="77" t="s">
        <v>42</v>
      </c>
      <c r="D529" s="77">
        <f>COUNTIF($C$2:C529,C529)</f>
        <v>116</v>
      </c>
      <c r="E529" s="1" t="s">
        <v>73</v>
      </c>
      <c r="F529" s="1" t="s">
        <v>15</v>
      </c>
      <c r="G529" s="1">
        <v>74</v>
      </c>
      <c r="H529" s="1">
        <v>75</v>
      </c>
      <c r="I529" s="1">
        <v>78</v>
      </c>
    </row>
    <row r="530" spans="1:9" x14ac:dyDescent="0.25">
      <c r="A530" s="2" t="s">
        <v>2</v>
      </c>
      <c r="B530" s="1" t="s">
        <v>9</v>
      </c>
      <c r="C530" s="79" t="s">
        <v>59</v>
      </c>
      <c r="D530" s="79">
        <f>COUNTIF($C$2:C530,C530)</f>
        <v>34</v>
      </c>
      <c r="E530" s="1" t="s">
        <v>7</v>
      </c>
      <c r="F530" s="1" t="s">
        <v>14</v>
      </c>
      <c r="G530" s="1">
        <v>59</v>
      </c>
      <c r="H530" s="1">
        <v>57</v>
      </c>
      <c r="I530" s="1">
        <v>51</v>
      </c>
    </row>
    <row r="531" spans="1:9" x14ac:dyDescent="0.25">
      <c r="A531" s="2" t="s">
        <v>2</v>
      </c>
      <c r="B531" s="1" t="s">
        <v>9</v>
      </c>
      <c r="C531" s="79" t="s">
        <v>59</v>
      </c>
      <c r="D531" s="79">
        <f>COUNTIF($C$2:C531,C531)</f>
        <v>35</v>
      </c>
      <c r="E531" s="1" t="s">
        <v>73</v>
      </c>
      <c r="F531" s="1" t="s">
        <v>14</v>
      </c>
      <c r="G531" s="1">
        <v>84</v>
      </c>
      <c r="H531" s="1">
        <v>85</v>
      </c>
      <c r="I531" s="1">
        <v>87</v>
      </c>
    </row>
    <row r="532" spans="1:9" x14ac:dyDescent="0.25">
      <c r="A532" s="2" t="s">
        <v>2</v>
      </c>
      <c r="B532" s="1" t="s">
        <v>10</v>
      </c>
      <c r="C532" s="74" t="s">
        <v>53</v>
      </c>
      <c r="D532" s="74">
        <f>COUNTIF($C$2:C532,C532)</f>
        <v>92</v>
      </c>
      <c r="E532" s="1" t="s">
        <v>7</v>
      </c>
      <c r="F532" s="1" t="s">
        <v>14</v>
      </c>
      <c r="G532" s="1">
        <v>74</v>
      </c>
      <c r="H532" s="1">
        <v>69</v>
      </c>
      <c r="I532" s="1">
        <v>69</v>
      </c>
    </row>
    <row r="533" spans="1:9" x14ac:dyDescent="0.25">
      <c r="A533" s="2" t="s">
        <v>2</v>
      </c>
      <c r="B533" s="1" t="s">
        <v>10</v>
      </c>
      <c r="C533" s="74" t="s">
        <v>53</v>
      </c>
      <c r="D533" s="74">
        <f>COUNTIF($C$2:C533,C533)</f>
        <v>93</v>
      </c>
      <c r="E533" s="1" t="s">
        <v>7</v>
      </c>
      <c r="F533" s="1" t="s">
        <v>14</v>
      </c>
      <c r="G533" s="1">
        <v>71</v>
      </c>
      <c r="H533" s="1">
        <v>63</v>
      </c>
      <c r="I533" s="1">
        <v>55</v>
      </c>
    </row>
    <row r="534" spans="1:9" x14ac:dyDescent="0.25">
      <c r="A534" s="2" t="s">
        <v>2</v>
      </c>
      <c r="B534" s="1" t="s">
        <v>10</v>
      </c>
      <c r="C534" s="74" t="s">
        <v>53</v>
      </c>
      <c r="D534" s="74">
        <f>COUNTIF($C$2:C534,C534)</f>
        <v>94</v>
      </c>
      <c r="E534" s="1" t="s">
        <v>7</v>
      </c>
      <c r="F534" s="1" t="s">
        <v>14</v>
      </c>
      <c r="G534" s="1">
        <v>63</v>
      </c>
      <c r="H534" s="1">
        <v>56</v>
      </c>
      <c r="I534" s="1">
        <v>47</v>
      </c>
    </row>
    <row r="535" spans="1:9" x14ac:dyDescent="0.25">
      <c r="A535" s="2" t="s">
        <v>2</v>
      </c>
      <c r="B535" s="1" t="s">
        <v>10</v>
      </c>
      <c r="C535" s="74" t="s">
        <v>53</v>
      </c>
      <c r="D535" s="74">
        <f>COUNTIF($C$2:C535,C535)</f>
        <v>95</v>
      </c>
      <c r="E535" s="1" t="s">
        <v>7</v>
      </c>
      <c r="F535" s="1" t="s">
        <v>14</v>
      </c>
      <c r="G535" s="1">
        <v>49</v>
      </c>
      <c r="H535" s="1">
        <v>39</v>
      </c>
      <c r="I535" s="1">
        <v>33</v>
      </c>
    </row>
    <row r="536" spans="1:9" x14ac:dyDescent="0.25">
      <c r="A536" s="2" t="s">
        <v>2</v>
      </c>
      <c r="B536" s="1" t="s">
        <v>10</v>
      </c>
      <c r="C536" s="74" t="s">
        <v>53</v>
      </c>
      <c r="D536" s="74">
        <f>COUNTIF($C$2:C536,C536)</f>
        <v>96</v>
      </c>
      <c r="E536" s="1" t="s">
        <v>7</v>
      </c>
      <c r="F536" s="1" t="s">
        <v>14</v>
      </c>
      <c r="G536" s="1">
        <v>55</v>
      </c>
      <c r="H536" s="1">
        <v>49</v>
      </c>
      <c r="I536" s="1">
        <v>44</v>
      </c>
    </row>
    <row r="537" spans="1:9" x14ac:dyDescent="0.25">
      <c r="A537" s="2" t="s">
        <v>2</v>
      </c>
      <c r="B537" s="1" t="s">
        <v>10</v>
      </c>
      <c r="C537" s="74" t="s">
        <v>53</v>
      </c>
      <c r="D537" s="74">
        <f>COUNTIF($C$2:C537,C537)</f>
        <v>97</v>
      </c>
      <c r="E537" s="1" t="s">
        <v>7</v>
      </c>
      <c r="F537" s="1" t="s">
        <v>14</v>
      </c>
      <c r="G537" s="1">
        <v>79</v>
      </c>
      <c r="H537" s="1">
        <v>69</v>
      </c>
      <c r="I537" s="1">
        <v>70</v>
      </c>
    </row>
    <row r="538" spans="1:9" x14ac:dyDescent="0.25">
      <c r="A538" s="2" t="s">
        <v>2</v>
      </c>
      <c r="B538" s="1" t="s">
        <v>10</v>
      </c>
      <c r="C538" s="74" t="s">
        <v>53</v>
      </c>
      <c r="D538" s="74">
        <f>COUNTIF($C$2:C538,C538)</f>
        <v>98</v>
      </c>
      <c r="E538" s="1" t="s">
        <v>7</v>
      </c>
      <c r="F538" s="1" t="s">
        <v>15</v>
      </c>
      <c r="G538" s="1">
        <v>45</v>
      </c>
      <c r="H538" s="1">
        <v>50</v>
      </c>
      <c r="I538" s="1">
        <v>48</v>
      </c>
    </row>
    <row r="539" spans="1:9" x14ac:dyDescent="0.25">
      <c r="A539" s="2" t="s">
        <v>2</v>
      </c>
      <c r="B539" s="1" t="s">
        <v>10</v>
      </c>
      <c r="C539" s="74" t="s">
        <v>53</v>
      </c>
      <c r="D539" s="74">
        <f>COUNTIF($C$2:C539,C539)</f>
        <v>99</v>
      </c>
      <c r="E539" s="1" t="s">
        <v>7</v>
      </c>
      <c r="F539" s="1" t="s">
        <v>15</v>
      </c>
      <c r="G539" s="1">
        <v>72</v>
      </c>
      <c r="H539" s="1">
        <v>62</v>
      </c>
      <c r="I539" s="1">
        <v>62</v>
      </c>
    </row>
    <row r="540" spans="1:9" x14ac:dyDescent="0.25">
      <c r="A540" s="2" t="s">
        <v>2</v>
      </c>
      <c r="B540" s="1" t="s">
        <v>10</v>
      </c>
      <c r="C540" s="74" t="s">
        <v>53</v>
      </c>
      <c r="D540" s="74">
        <f>COUNTIF($C$2:C540,C540)</f>
        <v>100</v>
      </c>
      <c r="E540" s="1" t="s">
        <v>73</v>
      </c>
      <c r="F540" s="1" t="s">
        <v>14</v>
      </c>
      <c r="G540" s="1">
        <v>33</v>
      </c>
      <c r="H540" s="1">
        <v>47</v>
      </c>
      <c r="I540" s="1">
        <v>32</v>
      </c>
    </row>
    <row r="541" spans="1:9" x14ac:dyDescent="0.25">
      <c r="A541" s="2" t="s">
        <v>2</v>
      </c>
      <c r="B541" s="1" t="s">
        <v>10</v>
      </c>
      <c r="C541" s="74" t="s">
        <v>53</v>
      </c>
      <c r="D541" s="74">
        <f>COUNTIF($C$2:C541,C541)</f>
        <v>101</v>
      </c>
      <c r="E541" s="1" t="s">
        <v>73</v>
      </c>
      <c r="F541" s="1" t="s">
        <v>14</v>
      </c>
      <c r="G541" s="1">
        <v>46</v>
      </c>
      <c r="H541" s="1">
        <v>41</v>
      </c>
      <c r="I541" s="1">
        <v>40</v>
      </c>
    </row>
    <row r="542" spans="1:9" x14ac:dyDescent="0.25">
      <c r="A542" s="2" t="s">
        <v>2</v>
      </c>
      <c r="B542" s="1" t="s">
        <v>10</v>
      </c>
      <c r="C542" s="74" t="s">
        <v>53</v>
      </c>
      <c r="D542" s="74">
        <f>COUNTIF($C$2:C542,C542)</f>
        <v>102</v>
      </c>
      <c r="E542" s="1" t="s">
        <v>73</v>
      </c>
      <c r="F542" s="1" t="s">
        <v>14</v>
      </c>
      <c r="G542" s="1">
        <v>38</v>
      </c>
      <c r="H542" s="1">
        <v>38</v>
      </c>
      <c r="I542" s="1">
        <v>30</v>
      </c>
    </row>
    <row r="543" spans="1:9" x14ac:dyDescent="0.25">
      <c r="A543" s="2" t="s">
        <v>2</v>
      </c>
      <c r="B543" s="1" t="s">
        <v>10</v>
      </c>
      <c r="C543" s="74" t="s">
        <v>53</v>
      </c>
      <c r="D543" s="74">
        <f>COUNTIF($C$2:C543,C543)</f>
        <v>103</v>
      </c>
      <c r="E543" s="1" t="s">
        <v>73</v>
      </c>
      <c r="F543" s="1" t="s">
        <v>15</v>
      </c>
      <c r="G543" s="1">
        <v>58</v>
      </c>
      <c r="H543" s="1">
        <v>56</v>
      </c>
      <c r="I543" s="1">
        <v>53</v>
      </c>
    </row>
    <row r="544" spans="1:9" x14ac:dyDescent="0.25">
      <c r="A544" s="2" t="s">
        <v>2</v>
      </c>
      <c r="B544" s="1" t="s">
        <v>10</v>
      </c>
      <c r="C544" s="74" t="s">
        <v>53</v>
      </c>
      <c r="D544" s="74">
        <f>COUNTIF($C$2:C544,C544)</f>
        <v>104</v>
      </c>
      <c r="E544" s="1" t="s">
        <v>73</v>
      </c>
      <c r="F544" s="1" t="s">
        <v>15</v>
      </c>
      <c r="G544" s="1">
        <v>64</v>
      </c>
      <c r="H544" s="1">
        <v>62</v>
      </c>
      <c r="I544" s="1">
        <v>55</v>
      </c>
    </row>
    <row r="545" spans="1:9" x14ac:dyDescent="0.25">
      <c r="A545" s="2" t="s">
        <v>2</v>
      </c>
      <c r="B545" s="1" t="s">
        <v>10</v>
      </c>
      <c r="C545" s="75" t="s">
        <v>6</v>
      </c>
      <c r="D545" s="75">
        <f>COUNTIF($C$2:C545,C545)</f>
        <v>124</v>
      </c>
      <c r="E545" s="1" t="s">
        <v>7</v>
      </c>
      <c r="F545" s="1" t="s">
        <v>14</v>
      </c>
      <c r="G545" s="1">
        <v>86</v>
      </c>
      <c r="H545" s="1">
        <v>82</v>
      </c>
      <c r="I545" s="1">
        <v>72</v>
      </c>
    </row>
    <row r="546" spans="1:9" x14ac:dyDescent="0.25">
      <c r="A546" s="2" t="s">
        <v>2</v>
      </c>
      <c r="B546" s="1" t="s">
        <v>10</v>
      </c>
      <c r="C546" s="75" t="s">
        <v>6</v>
      </c>
      <c r="D546" s="75">
        <f>COUNTIF($C$2:C546,C546)</f>
        <v>125</v>
      </c>
      <c r="E546" s="1" t="s">
        <v>7</v>
      </c>
      <c r="F546" s="1" t="s">
        <v>14</v>
      </c>
      <c r="G546" s="1">
        <v>65</v>
      </c>
      <c r="H546" s="1">
        <v>61</v>
      </c>
      <c r="I546" s="1">
        <v>57</v>
      </c>
    </row>
    <row r="547" spans="1:9" x14ac:dyDescent="0.25">
      <c r="A547" s="2" t="s">
        <v>2</v>
      </c>
      <c r="B547" s="1" t="s">
        <v>10</v>
      </c>
      <c r="C547" s="75" t="s">
        <v>6</v>
      </c>
      <c r="D547" s="75">
        <f>COUNTIF($C$2:C547,C547)</f>
        <v>126</v>
      </c>
      <c r="E547" s="1" t="s">
        <v>7</v>
      </c>
      <c r="F547" s="1" t="s">
        <v>14</v>
      </c>
      <c r="G547" s="1">
        <v>44</v>
      </c>
      <c r="H547" s="1">
        <v>50</v>
      </c>
      <c r="I547" s="1">
        <v>37</v>
      </c>
    </row>
    <row r="548" spans="1:9" x14ac:dyDescent="0.25">
      <c r="A548" s="2" t="s">
        <v>2</v>
      </c>
      <c r="B548" s="1" t="s">
        <v>10</v>
      </c>
      <c r="C548" s="75" t="s">
        <v>6</v>
      </c>
      <c r="D548" s="75">
        <f>COUNTIF($C$2:C548,C548)</f>
        <v>127</v>
      </c>
      <c r="E548" s="1" t="s">
        <v>7</v>
      </c>
      <c r="F548" s="1" t="s">
        <v>14</v>
      </c>
      <c r="G548" s="1">
        <v>71</v>
      </c>
      <c r="H548" s="1">
        <v>63</v>
      </c>
      <c r="I548" s="1">
        <v>61</v>
      </c>
    </row>
    <row r="549" spans="1:9" x14ac:dyDescent="0.25">
      <c r="A549" s="2" t="s">
        <v>2</v>
      </c>
      <c r="B549" s="1" t="s">
        <v>10</v>
      </c>
      <c r="C549" s="75" t="s">
        <v>6</v>
      </c>
      <c r="D549" s="75">
        <f>COUNTIF($C$2:C549,C549)</f>
        <v>128</v>
      </c>
      <c r="E549" s="1" t="s">
        <v>7</v>
      </c>
      <c r="F549" s="1" t="s">
        <v>14</v>
      </c>
      <c r="G549" s="1">
        <v>52</v>
      </c>
      <c r="H549" s="1">
        <v>48</v>
      </c>
      <c r="I549" s="1">
        <v>49</v>
      </c>
    </row>
    <row r="550" spans="1:9" x14ac:dyDescent="0.25">
      <c r="A550" s="2" t="s">
        <v>2</v>
      </c>
      <c r="B550" s="1" t="s">
        <v>10</v>
      </c>
      <c r="C550" s="75" t="s">
        <v>6</v>
      </c>
      <c r="D550" s="75">
        <f>COUNTIF($C$2:C550,C550)</f>
        <v>129</v>
      </c>
      <c r="E550" s="1" t="s">
        <v>7</v>
      </c>
      <c r="F550" s="1" t="s">
        <v>14</v>
      </c>
      <c r="G550" s="1">
        <v>51</v>
      </c>
      <c r="H550" s="1">
        <v>52</v>
      </c>
      <c r="I550" s="1">
        <v>46</v>
      </c>
    </row>
    <row r="551" spans="1:9" x14ac:dyDescent="0.25">
      <c r="A551" s="2" t="s">
        <v>2</v>
      </c>
      <c r="B551" s="1" t="s">
        <v>10</v>
      </c>
      <c r="C551" s="75" t="s">
        <v>6</v>
      </c>
      <c r="D551" s="75">
        <f>COUNTIF($C$2:C551,C551)</f>
        <v>130</v>
      </c>
      <c r="E551" s="1" t="s">
        <v>7</v>
      </c>
      <c r="F551" s="1" t="s">
        <v>14</v>
      </c>
      <c r="G551" s="1">
        <v>81</v>
      </c>
      <c r="H551" s="1">
        <v>71</v>
      </c>
      <c r="I551" s="1">
        <v>62</v>
      </c>
    </row>
    <row r="552" spans="1:9" x14ac:dyDescent="0.25">
      <c r="A552" s="2" t="s">
        <v>2</v>
      </c>
      <c r="B552" s="1" t="s">
        <v>10</v>
      </c>
      <c r="C552" s="75" t="s">
        <v>6</v>
      </c>
      <c r="D552" s="75">
        <f>COUNTIF($C$2:C552,C552)</f>
        <v>131</v>
      </c>
      <c r="E552" s="1" t="s">
        <v>7</v>
      </c>
      <c r="F552" s="1" t="s">
        <v>14</v>
      </c>
      <c r="G552" s="1">
        <v>65</v>
      </c>
      <c r="H552" s="1">
        <v>66</v>
      </c>
      <c r="I552" s="1">
        <v>61</v>
      </c>
    </row>
    <row r="553" spans="1:9" x14ac:dyDescent="0.25">
      <c r="A553" s="2" t="s">
        <v>2</v>
      </c>
      <c r="B553" s="1" t="s">
        <v>10</v>
      </c>
      <c r="C553" s="75" t="s">
        <v>6</v>
      </c>
      <c r="D553" s="75">
        <f>COUNTIF($C$2:C553,C553)</f>
        <v>132</v>
      </c>
      <c r="E553" s="1" t="s">
        <v>7</v>
      </c>
      <c r="F553" s="1" t="s">
        <v>14</v>
      </c>
      <c r="G553" s="1">
        <v>64</v>
      </c>
      <c r="H553" s="1">
        <v>57</v>
      </c>
      <c r="I553" s="1">
        <v>52</v>
      </c>
    </row>
    <row r="554" spans="1:9" x14ac:dyDescent="0.25">
      <c r="A554" s="2" t="s">
        <v>2</v>
      </c>
      <c r="B554" s="1" t="s">
        <v>10</v>
      </c>
      <c r="C554" s="75" t="s">
        <v>6</v>
      </c>
      <c r="D554" s="75">
        <f>COUNTIF($C$2:C554,C554)</f>
        <v>133</v>
      </c>
      <c r="E554" s="1" t="s">
        <v>7</v>
      </c>
      <c r="F554" s="1" t="s">
        <v>15</v>
      </c>
      <c r="G554" s="1">
        <v>88</v>
      </c>
      <c r="H554" s="1">
        <v>87</v>
      </c>
      <c r="I554" s="1">
        <v>85</v>
      </c>
    </row>
    <row r="555" spans="1:9" x14ac:dyDescent="0.25">
      <c r="A555" s="2" t="s">
        <v>2</v>
      </c>
      <c r="B555" s="1" t="s">
        <v>10</v>
      </c>
      <c r="C555" s="75" t="s">
        <v>6</v>
      </c>
      <c r="D555" s="75">
        <f>COUNTIF($C$2:C555,C555)</f>
        <v>134</v>
      </c>
      <c r="E555" s="1" t="s">
        <v>7</v>
      </c>
      <c r="F555" s="1" t="s">
        <v>15</v>
      </c>
      <c r="G555" s="1">
        <v>85</v>
      </c>
      <c r="H555" s="1">
        <v>75</v>
      </c>
      <c r="I555" s="1">
        <v>72</v>
      </c>
    </row>
    <row r="556" spans="1:9" x14ac:dyDescent="0.25">
      <c r="A556" s="2" t="s">
        <v>2</v>
      </c>
      <c r="B556" s="1" t="s">
        <v>10</v>
      </c>
      <c r="C556" s="75" t="s">
        <v>6</v>
      </c>
      <c r="D556" s="75">
        <f>COUNTIF($C$2:C556,C556)</f>
        <v>135</v>
      </c>
      <c r="E556" s="1" t="s">
        <v>73</v>
      </c>
      <c r="F556" s="1" t="s">
        <v>14</v>
      </c>
      <c r="G556" s="1">
        <v>65</v>
      </c>
      <c r="H556" s="1">
        <v>55</v>
      </c>
      <c r="I556" s="1">
        <v>51</v>
      </c>
    </row>
    <row r="557" spans="1:9" x14ac:dyDescent="0.25">
      <c r="A557" s="2" t="s">
        <v>2</v>
      </c>
      <c r="B557" s="1" t="s">
        <v>10</v>
      </c>
      <c r="C557" s="75" t="s">
        <v>6</v>
      </c>
      <c r="D557" s="75">
        <f>COUNTIF($C$2:C557,C557)</f>
        <v>136</v>
      </c>
      <c r="E557" s="1" t="s">
        <v>73</v>
      </c>
      <c r="F557" s="1" t="s">
        <v>15</v>
      </c>
      <c r="G557" s="1">
        <v>59</v>
      </c>
      <c r="H557" s="1">
        <v>62</v>
      </c>
      <c r="I557" s="1">
        <v>58</v>
      </c>
    </row>
    <row r="558" spans="1:9" x14ac:dyDescent="0.25">
      <c r="A558" s="2" t="s">
        <v>2</v>
      </c>
      <c r="B558" s="1" t="s">
        <v>10</v>
      </c>
      <c r="C558" s="75" t="s">
        <v>6</v>
      </c>
      <c r="D558" s="75">
        <f>COUNTIF($C$2:C558,C558)</f>
        <v>137</v>
      </c>
      <c r="E558" s="1" t="s">
        <v>73</v>
      </c>
      <c r="F558" s="1" t="s">
        <v>15</v>
      </c>
      <c r="G558" s="1">
        <v>76</v>
      </c>
      <c r="H558" s="1">
        <v>81</v>
      </c>
      <c r="I558" s="1">
        <v>72</v>
      </c>
    </row>
    <row r="559" spans="1:9" x14ac:dyDescent="0.25">
      <c r="A559" s="2" t="s">
        <v>2</v>
      </c>
      <c r="B559" s="1" t="s">
        <v>10</v>
      </c>
      <c r="C559" s="75" t="s">
        <v>6</v>
      </c>
      <c r="D559" s="75">
        <f>COUNTIF($C$2:C559,C559)</f>
        <v>138</v>
      </c>
      <c r="E559" s="1" t="s">
        <v>73</v>
      </c>
      <c r="F559" s="1" t="s">
        <v>15</v>
      </c>
      <c r="G559" s="1">
        <v>73</v>
      </c>
      <c r="H559" s="1">
        <v>68</v>
      </c>
      <c r="I559" s="1">
        <v>71</v>
      </c>
    </row>
    <row r="560" spans="1:9" x14ac:dyDescent="0.25">
      <c r="A560" s="2" t="s">
        <v>2</v>
      </c>
      <c r="B560" s="1" t="s">
        <v>10</v>
      </c>
      <c r="C560" s="76" t="s">
        <v>54</v>
      </c>
      <c r="D560" s="76">
        <f>COUNTIF($C$2:C560,C560)</f>
        <v>114</v>
      </c>
      <c r="E560" s="1" t="s">
        <v>7</v>
      </c>
      <c r="F560" s="1" t="s">
        <v>14</v>
      </c>
      <c r="G560" s="1">
        <v>47</v>
      </c>
      <c r="H560" s="1">
        <v>48</v>
      </c>
      <c r="I560" s="1">
        <v>49</v>
      </c>
    </row>
    <row r="561" spans="1:9" x14ac:dyDescent="0.25">
      <c r="A561" s="2" t="s">
        <v>2</v>
      </c>
      <c r="B561" s="1" t="s">
        <v>10</v>
      </c>
      <c r="C561" s="76" t="s">
        <v>54</v>
      </c>
      <c r="D561" s="76">
        <f>COUNTIF($C$2:C561,C561)</f>
        <v>115</v>
      </c>
      <c r="E561" s="1" t="s">
        <v>7</v>
      </c>
      <c r="F561" s="1" t="s">
        <v>14</v>
      </c>
      <c r="G561" s="1">
        <v>67</v>
      </c>
      <c r="H561" s="1">
        <v>60</v>
      </c>
      <c r="I561" s="1">
        <v>61</v>
      </c>
    </row>
    <row r="562" spans="1:9" x14ac:dyDescent="0.25">
      <c r="A562" s="2" t="s">
        <v>2</v>
      </c>
      <c r="B562" s="1" t="s">
        <v>10</v>
      </c>
      <c r="C562" s="76" t="s">
        <v>54</v>
      </c>
      <c r="D562" s="76">
        <f>COUNTIF($C$2:C562,C562)</f>
        <v>116</v>
      </c>
      <c r="E562" s="1" t="s">
        <v>7</v>
      </c>
      <c r="F562" s="1" t="s">
        <v>14</v>
      </c>
      <c r="G562" s="1">
        <v>72</v>
      </c>
      <c r="H562" s="1">
        <v>67</v>
      </c>
      <c r="I562" s="1">
        <v>64</v>
      </c>
    </row>
    <row r="563" spans="1:9" x14ac:dyDescent="0.25">
      <c r="A563" s="2" t="s">
        <v>2</v>
      </c>
      <c r="B563" s="1" t="s">
        <v>10</v>
      </c>
      <c r="C563" s="76" t="s">
        <v>54</v>
      </c>
      <c r="D563" s="76">
        <f>COUNTIF($C$2:C563,C563)</f>
        <v>117</v>
      </c>
      <c r="E563" s="1" t="s">
        <v>7</v>
      </c>
      <c r="F563" s="1" t="s">
        <v>14</v>
      </c>
      <c r="G563" s="1">
        <v>74</v>
      </c>
      <c r="H563" s="1">
        <v>65</v>
      </c>
      <c r="I563" s="1">
        <v>61</v>
      </c>
    </row>
    <row r="564" spans="1:9" x14ac:dyDescent="0.25">
      <c r="A564" s="2" t="s">
        <v>2</v>
      </c>
      <c r="B564" s="1" t="s">
        <v>10</v>
      </c>
      <c r="C564" s="76" t="s">
        <v>54</v>
      </c>
      <c r="D564" s="76">
        <f>COUNTIF($C$2:C564,C564)</f>
        <v>118</v>
      </c>
      <c r="E564" s="1" t="s">
        <v>7</v>
      </c>
      <c r="F564" s="1" t="s">
        <v>14</v>
      </c>
      <c r="G564" s="1">
        <v>59</v>
      </c>
      <c r="H564" s="1">
        <v>52</v>
      </c>
      <c r="I564" s="1">
        <v>45</v>
      </c>
    </row>
    <row r="565" spans="1:9" x14ac:dyDescent="0.25">
      <c r="A565" s="2" t="s">
        <v>2</v>
      </c>
      <c r="B565" s="1" t="s">
        <v>10</v>
      </c>
      <c r="C565" s="76" t="s">
        <v>54</v>
      </c>
      <c r="D565" s="76">
        <f>COUNTIF($C$2:C565,C565)</f>
        <v>119</v>
      </c>
      <c r="E565" s="1" t="s">
        <v>7</v>
      </c>
      <c r="F565" s="1" t="s">
        <v>14</v>
      </c>
      <c r="G565" s="1">
        <v>73</v>
      </c>
      <c r="H565" s="1">
        <v>54</v>
      </c>
      <c r="I565" s="1">
        <v>57</v>
      </c>
    </row>
    <row r="566" spans="1:9" x14ac:dyDescent="0.25">
      <c r="A566" s="2" t="s">
        <v>2</v>
      </c>
      <c r="B566" s="1" t="s">
        <v>10</v>
      </c>
      <c r="C566" s="76" t="s">
        <v>54</v>
      </c>
      <c r="D566" s="76">
        <f>COUNTIF($C$2:C566,C566)</f>
        <v>120</v>
      </c>
      <c r="E566" s="1" t="s">
        <v>7</v>
      </c>
      <c r="F566" s="1" t="s">
        <v>14</v>
      </c>
      <c r="G566" s="1">
        <v>81</v>
      </c>
      <c r="H566" s="1">
        <v>66</v>
      </c>
      <c r="I566" s="1">
        <v>58</v>
      </c>
    </row>
    <row r="567" spans="1:9" x14ac:dyDescent="0.25">
      <c r="A567" s="2" t="s">
        <v>2</v>
      </c>
      <c r="B567" s="1" t="s">
        <v>10</v>
      </c>
      <c r="C567" s="76" t="s">
        <v>54</v>
      </c>
      <c r="D567" s="76">
        <f>COUNTIF($C$2:C567,C567)</f>
        <v>121</v>
      </c>
      <c r="E567" s="1" t="s">
        <v>7</v>
      </c>
      <c r="F567" s="1" t="s">
        <v>15</v>
      </c>
      <c r="G567" s="1">
        <v>76</v>
      </c>
      <c r="H567" s="1">
        <v>79</v>
      </c>
      <c r="I567" s="1">
        <v>80</v>
      </c>
    </row>
    <row r="568" spans="1:9" x14ac:dyDescent="0.25">
      <c r="A568" s="2" t="s">
        <v>2</v>
      </c>
      <c r="B568" s="1" t="s">
        <v>10</v>
      </c>
      <c r="C568" s="76" t="s">
        <v>54</v>
      </c>
      <c r="D568" s="76">
        <f>COUNTIF($C$2:C568,C568)</f>
        <v>122</v>
      </c>
      <c r="E568" s="1" t="s">
        <v>7</v>
      </c>
      <c r="F568" s="1" t="s">
        <v>15</v>
      </c>
      <c r="G568" s="1">
        <v>79</v>
      </c>
      <c r="H568" s="1">
        <v>77</v>
      </c>
      <c r="I568" s="1">
        <v>75</v>
      </c>
    </row>
    <row r="569" spans="1:9" x14ac:dyDescent="0.25">
      <c r="A569" s="2" t="s">
        <v>2</v>
      </c>
      <c r="B569" s="1" t="s">
        <v>10</v>
      </c>
      <c r="C569" s="76" t="s">
        <v>54</v>
      </c>
      <c r="D569" s="76">
        <f>COUNTIF($C$2:C569,C569)</f>
        <v>123</v>
      </c>
      <c r="E569" s="1" t="s">
        <v>73</v>
      </c>
      <c r="F569" s="1" t="s">
        <v>14</v>
      </c>
      <c r="G569" s="1">
        <v>60</v>
      </c>
      <c r="H569" s="1">
        <v>59</v>
      </c>
      <c r="I569" s="1">
        <v>52</v>
      </c>
    </row>
    <row r="570" spans="1:9" x14ac:dyDescent="0.25">
      <c r="A570" s="2" t="s">
        <v>2</v>
      </c>
      <c r="B570" s="1" t="s">
        <v>10</v>
      </c>
      <c r="C570" s="76" t="s">
        <v>54</v>
      </c>
      <c r="D570" s="76">
        <f>COUNTIF($C$2:C570,C570)</f>
        <v>124</v>
      </c>
      <c r="E570" s="1" t="s">
        <v>73</v>
      </c>
      <c r="F570" s="1" t="s">
        <v>14</v>
      </c>
      <c r="G570" s="1">
        <v>74</v>
      </c>
      <c r="H570" s="1">
        <v>79</v>
      </c>
      <c r="I570" s="1">
        <v>65</v>
      </c>
    </row>
    <row r="571" spans="1:9" x14ac:dyDescent="0.25">
      <c r="A571" s="2" t="s">
        <v>2</v>
      </c>
      <c r="B571" s="1" t="s">
        <v>10</v>
      </c>
      <c r="C571" s="76" t="s">
        <v>54</v>
      </c>
      <c r="D571" s="76">
        <f>COUNTIF($C$2:C571,C571)</f>
        <v>125</v>
      </c>
      <c r="E571" s="1" t="s">
        <v>73</v>
      </c>
      <c r="F571" s="1" t="s">
        <v>14</v>
      </c>
      <c r="G571" s="1">
        <v>45</v>
      </c>
      <c r="H571" s="1">
        <v>52</v>
      </c>
      <c r="I571" s="1">
        <v>45</v>
      </c>
    </row>
    <row r="572" spans="1:9" x14ac:dyDescent="0.25">
      <c r="A572" s="2" t="s">
        <v>2</v>
      </c>
      <c r="B572" s="1" t="s">
        <v>10</v>
      </c>
      <c r="C572" s="76" t="s">
        <v>54</v>
      </c>
      <c r="D572" s="76">
        <f>COUNTIF($C$2:C572,C572)</f>
        <v>126</v>
      </c>
      <c r="E572" s="1" t="s">
        <v>73</v>
      </c>
      <c r="F572" s="1" t="s">
        <v>14</v>
      </c>
      <c r="G572" s="1">
        <v>57</v>
      </c>
      <c r="H572" s="1">
        <v>59</v>
      </c>
      <c r="I572" s="1">
        <v>62</v>
      </c>
    </row>
    <row r="573" spans="1:9" x14ac:dyDescent="0.25">
      <c r="A573" s="2" t="s">
        <v>2</v>
      </c>
      <c r="B573" s="1" t="s">
        <v>10</v>
      </c>
      <c r="C573" s="76" t="s">
        <v>54</v>
      </c>
      <c r="D573" s="76">
        <f>COUNTIF($C$2:C573,C573)</f>
        <v>127</v>
      </c>
      <c r="E573" s="1" t="s">
        <v>73</v>
      </c>
      <c r="F573" s="1" t="s">
        <v>15</v>
      </c>
      <c r="G573" s="1">
        <v>84</v>
      </c>
      <c r="H573" s="1">
        <v>91</v>
      </c>
      <c r="I573" s="1">
        <v>89</v>
      </c>
    </row>
    <row r="574" spans="1:9" x14ac:dyDescent="0.25">
      <c r="A574" s="2" t="s">
        <v>2</v>
      </c>
      <c r="B574" s="1" t="s">
        <v>10</v>
      </c>
      <c r="C574" s="76" t="s">
        <v>54</v>
      </c>
      <c r="D574" s="76">
        <f>COUNTIF($C$2:C574,C574)</f>
        <v>128</v>
      </c>
      <c r="E574" s="1" t="s">
        <v>73</v>
      </c>
      <c r="F574" s="1" t="s">
        <v>15</v>
      </c>
      <c r="G574" s="1">
        <v>50</v>
      </c>
      <c r="H574" s="1">
        <v>56</v>
      </c>
      <c r="I574" s="1">
        <v>55</v>
      </c>
    </row>
    <row r="575" spans="1:9" x14ac:dyDescent="0.25">
      <c r="A575" s="2" t="s">
        <v>2</v>
      </c>
      <c r="B575" s="1" t="s">
        <v>10</v>
      </c>
      <c r="C575" s="76" t="s">
        <v>54</v>
      </c>
      <c r="D575" s="76">
        <f>COUNTIF($C$2:C575,C575)</f>
        <v>129</v>
      </c>
      <c r="E575" s="1" t="s">
        <v>73</v>
      </c>
      <c r="F575" s="1" t="s">
        <v>15</v>
      </c>
      <c r="G575" s="1">
        <v>68</v>
      </c>
      <c r="H575" s="1">
        <v>73</v>
      </c>
      <c r="I575" s="1">
        <v>72</v>
      </c>
    </row>
    <row r="576" spans="1:9" x14ac:dyDescent="0.25">
      <c r="A576" s="2" t="s">
        <v>2</v>
      </c>
      <c r="B576" s="1" t="s">
        <v>10</v>
      </c>
      <c r="C576" s="77" t="s">
        <v>42</v>
      </c>
      <c r="D576" s="77">
        <f>COUNTIF($C$2:C576,C576)</f>
        <v>117</v>
      </c>
      <c r="E576" s="1" t="s">
        <v>7</v>
      </c>
      <c r="F576" s="1" t="s">
        <v>14</v>
      </c>
      <c r="G576" s="1">
        <v>74</v>
      </c>
      <c r="H576" s="1">
        <v>83</v>
      </c>
      <c r="I576" s="1">
        <v>72</v>
      </c>
    </row>
    <row r="577" spans="1:9" x14ac:dyDescent="0.25">
      <c r="A577" s="2" t="s">
        <v>2</v>
      </c>
      <c r="B577" s="1" t="s">
        <v>10</v>
      </c>
      <c r="C577" s="77" t="s">
        <v>42</v>
      </c>
      <c r="D577" s="77">
        <f>COUNTIF($C$2:C577,C577)</f>
        <v>118</v>
      </c>
      <c r="E577" s="1" t="s">
        <v>7</v>
      </c>
      <c r="F577" s="1" t="s">
        <v>14</v>
      </c>
      <c r="G577" s="1">
        <v>85</v>
      </c>
      <c r="H577" s="1">
        <v>80</v>
      </c>
      <c r="I577" s="1">
        <v>73</v>
      </c>
    </row>
    <row r="578" spans="1:9" x14ac:dyDescent="0.25">
      <c r="A578" s="2" t="s">
        <v>2</v>
      </c>
      <c r="B578" s="1" t="s">
        <v>10</v>
      </c>
      <c r="C578" s="77" t="s">
        <v>42</v>
      </c>
      <c r="D578" s="77">
        <f>COUNTIF($C$2:C578,C578)</f>
        <v>119</v>
      </c>
      <c r="E578" s="1" t="s">
        <v>7</v>
      </c>
      <c r="F578" s="1" t="s">
        <v>14</v>
      </c>
      <c r="G578" s="1">
        <v>60</v>
      </c>
      <c r="H578" s="1">
        <v>59</v>
      </c>
      <c r="I578" s="1">
        <v>53</v>
      </c>
    </row>
    <row r="579" spans="1:9" x14ac:dyDescent="0.25">
      <c r="A579" s="2" t="s">
        <v>2</v>
      </c>
      <c r="B579" s="1" t="s">
        <v>10</v>
      </c>
      <c r="C579" s="77" t="s">
        <v>42</v>
      </c>
      <c r="D579" s="77">
        <f>COUNTIF($C$2:C579,C579)</f>
        <v>120</v>
      </c>
      <c r="E579" s="1" t="s">
        <v>7</v>
      </c>
      <c r="F579" s="1" t="s">
        <v>14</v>
      </c>
      <c r="G579" s="1">
        <v>60</v>
      </c>
      <c r="H579" s="1">
        <v>55</v>
      </c>
      <c r="I579" s="1">
        <v>52</v>
      </c>
    </row>
    <row r="580" spans="1:9" x14ac:dyDescent="0.25">
      <c r="A580" s="2" t="s">
        <v>2</v>
      </c>
      <c r="B580" s="1" t="s">
        <v>10</v>
      </c>
      <c r="C580" s="77" t="s">
        <v>42</v>
      </c>
      <c r="D580" s="77">
        <f>COUNTIF($C$2:C580,C580)</f>
        <v>121</v>
      </c>
      <c r="E580" s="1" t="s">
        <v>7</v>
      </c>
      <c r="F580" s="1" t="s">
        <v>14</v>
      </c>
      <c r="G580" s="1">
        <v>69</v>
      </c>
      <c r="H580" s="1">
        <v>59</v>
      </c>
      <c r="I580" s="1">
        <v>57</v>
      </c>
    </row>
    <row r="581" spans="1:9" x14ac:dyDescent="0.25">
      <c r="A581" s="2" t="s">
        <v>2</v>
      </c>
      <c r="B581" s="1" t="s">
        <v>10</v>
      </c>
      <c r="C581" s="77" t="s">
        <v>42</v>
      </c>
      <c r="D581" s="77">
        <f>COUNTIF($C$2:C581,C581)</f>
        <v>122</v>
      </c>
      <c r="E581" s="1" t="s">
        <v>7</v>
      </c>
      <c r="F581" s="1" t="s">
        <v>14</v>
      </c>
      <c r="G581" s="1">
        <v>76</v>
      </c>
      <c r="H581" s="1">
        <v>70</v>
      </c>
      <c r="I581" s="1">
        <v>67</v>
      </c>
    </row>
    <row r="582" spans="1:9" x14ac:dyDescent="0.25">
      <c r="A582" s="2" t="s">
        <v>2</v>
      </c>
      <c r="B582" s="1" t="s">
        <v>10</v>
      </c>
      <c r="C582" s="77" t="s">
        <v>42</v>
      </c>
      <c r="D582" s="77">
        <f>COUNTIF($C$2:C582,C582)</f>
        <v>123</v>
      </c>
      <c r="E582" s="1" t="s">
        <v>7</v>
      </c>
      <c r="F582" s="1" t="s">
        <v>14</v>
      </c>
      <c r="G582" s="1">
        <v>58</v>
      </c>
      <c r="H582" s="1">
        <v>47</v>
      </c>
      <c r="I582" s="1">
        <v>45</v>
      </c>
    </row>
    <row r="583" spans="1:9" x14ac:dyDescent="0.25">
      <c r="A583" s="2" t="s">
        <v>2</v>
      </c>
      <c r="B583" s="1" t="s">
        <v>10</v>
      </c>
      <c r="C583" s="77" t="s">
        <v>42</v>
      </c>
      <c r="D583" s="77">
        <f>COUNTIF($C$2:C583,C583)</f>
        <v>124</v>
      </c>
      <c r="E583" s="1" t="s">
        <v>7</v>
      </c>
      <c r="F583" s="1" t="s">
        <v>15</v>
      </c>
      <c r="G583" s="1">
        <v>83</v>
      </c>
      <c r="H583" s="1">
        <v>79</v>
      </c>
      <c r="I583" s="1">
        <v>80</v>
      </c>
    </row>
    <row r="584" spans="1:9" x14ac:dyDescent="0.25">
      <c r="A584" s="2" t="s">
        <v>2</v>
      </c>
      <c r="B584" s="1" t="s">
        <v>10</v>
      </c>
      <c r="C584" s="77" t="s">
        <v>42</v>
      </c>
      <c r="D584" s="77">
        <f>COUNTIF($C$2:C584,C584)</f>
        <v>125</v>
      </c>
      <c r="E584" s="1" t="s">
        <v>7</v>
      </c>
      <c r="F584" s="1" t="s">
        <v>15</v>
      </c>
      <c r="G584" s="1">
        <v>77</v>
      </c>
      <c r="H584" s="1">
        <v>68</v>
      </c>
      <c r="I584" s="1">
        <v>66</v>
      </c>
    </row>
    <row r="585" spans="1:9" x14ac:dyDescent="0.25">
      <c r="A585" s="2" t="s">
        <v>2</v>
      </c>
      <c r="B585" s="1" t="s">
        <v>10</v>
      </c>
      <c r="C585" s="77" t="s">
        <v>42</v>
      </c>
      <c r="D585" s="77">
        <f>COUNTIF($C$2:C585,C585)</f>
        <v>126</v>
      </c>
      <c r="E585" s="1" t="s">
        <v>73</v>
      </c>
      <c r="F585" s="1" t="s">
        <v>14</v>
      </c>
      <c r="G585" s="1">
        <v>70</v>
      </c>
      <c r="H585" s="1">
        <v>70</v>
      </c>
      <c r="I585" s="1">
        <v>63</v>
      </c>
    </row>
    <row r="586" spans="1:9" x14ac:dyDescent="0.25">
      <c r="A586" s="2" t="s">
        <v>2</v>
      </c>
      <c r="B586" s="1" t="s">
        <v>10</v>
      </c>
      <c r="C586" s="77" t="s">
        <v>42</v>
      </c>
      <c r="D586" s="77">
        <f>COUNTIF($C$2:C586,C586)</f>
        <v>127</v>
      </c>
      <c r="E586" s="1" t="s">
        <v>73</v>
      </c>
      <c r="F586" s="1" t="s">
        <v>14</v>
      </c>
      <c r="G586" s="1">
        <v>51</v>
      </c>
      <c r="H586" s="1">
        <v>50</v>
      </c>
      <c r="I586" s="1">
        <v>44</v>
      </c>
    </row>
    <row r="587" spans="1:9" x14ac:dyDescent="0.25">
      <c r="A587" s="2" t="s">
        <v>2</v>
      </c>
      <c r="B587" s="1" t="s">
        <v>10</v>
      </c>
      <c r="C587" s="77" t="s">
        <v>42</v>
      </c>
      <c r="D587" s="77">
        <f>COUNTIF($C$2:C587,C587)</f>
        <v>128</v>
      </c>
      <c r="E587" s="1" t="s">
        <v>73</v>
      </c>
      <c r="F587" s="1" t="s">
        <v>14</v>
      </c>
      <c r="G587" s="1">
        <v>44</v>
      </c>
      <c r="H587" s="1">
        <v>45</v>
      </c>
      <c r="I587" s="1">
        <v>41</v>
      </c>
    </row>
    <row r="588" spans="1:9" x14ac:dyDescent="0.25">
      <c r="A588" s="2" t="s">
        <v>2</v>
      </c>
      <c r="B588" s="1" t="s">
        <v>10</v>
      </c>
      <c r="C588" s="77" t="s">
        <v>42</v>
      </c>
      <c r="D588" s="77">
        <f>COUNTIF($C$2:C588,C588)</f>
        <v>129</v>
      </c>
      <c r="E588" s="1" t="s">
        <v>73</v>
      </c>
      <c r="F588" s="1" t="s">
        <v>14</v>
      </c>
      <c r="G588" s="1">
        <v>78</v>
      </c>
      <c r="H588" s="1">
        <v>68</v>
      </c>
      <c r="I588" s="1">
        <v>70</v>
      </c>
    </row>
    <row r="589" spans="1:9" x14ac:dyDescent="0.25">
      <c r="A589" s="2" t="s">
        <v>2</v>
      </c>
      <c r="B589" s="1" t="s">
        <v>10</v>
      </c>
      <c r="C589" s="77" t="s">
        <v>42</v>
      </c>
      <c r="D589" s="77">
        <f>COUNTIF($C$2:C589,C589)</f>
        <v>130</v>
      </c>
      <c r="E589" s="1" t="s">
        <v>73</v>
      </c>
      <c r="F589" s="1" t="s">
        <v>14</v>
      </c>
      <c r="G589" s="1">
        <v>52</v>
      </c>
      <c r="H589" s="1">
        <v>57</v>
      </c>
      <c r="I589" s="1">
        <v>49</v>
      </c>
    </row>
    <row r="590" spans="1:9" x14ac:dyDescent="0.25">
      <c r="A590" s="2" t="s">
        <v>2</v>
      </c>
      <c r="B590" s="1" t="s">
        <v>10</v>
      </c>
      <c r="C590" s="77" t="s">
        <v>42</v>
      </c>
      <c r="D590" s="77">
        <f>COUNTIF($C$2:C590,C590)</f>
        <v>131</v>
      </c>
      <c r="E590" s="1" t="s">
        <v>73</v>
      </c>
      <c r="F590" s="1" t="s">
        <v>14</v>
      </c>
      <c r="G590" s="1">
        <v>42</v>
      </c>
      <c r="H590" s="1">
        <v>48</v>
      </c>
      <c r="I590" s="1">
        <v>33</v>
      </c>
    </row>
    <row r="591" spans="1:9" x14ac:dyDescent="0.25">
      <c r="A591" s="2" t="s">
        <v>2</v>
      </c>
      <c r="B591" s="1" t="s">
        <v>10</v>
      </c>
      <c r="C591" s="77" t="s">
        <v>42</v>
      </c>
      <c r="D591" s="77">
        <f>COUNTIF($C$2:C591,C591)</f>
        <v>132</v>
      </c>
      <c r="E591" s="1" t="s">
        <v>73</v>
      </c>
      <c r="F591" s="1" t="s">
        <v>14</v>
      </c>
      <c r="G591" s="1">
        <v>56</v>
      </c>
      <c r="H591" s="1">
        <v>47</v>
      </c>
      <c r="I591" s="1">
        <v>48</v>
      </c>
    </row>
    <row r="592" spans="1:9" x14ac:dyDescent="0.25">
      <c r="A592" s="2" t="s">
        <v>2</v>
      </c>
      <c r="B592" s="1" t="s">
        <v>10</v>
      </c>
      <c r="C592" s="77" t="s">
        <v>42</v>
      </c>
      <c r="D592" s="77">
        <f>COUNTIF($C$2:C592,C592)</f>
        <v>133</v>
      </c>
      <c r="E592" s="1" t="s">
        <v>73</v>
      </c>
      <c r="F592" s="1" t="s">
        <v>15</v>
      </c>
      <c r="G592" s="1">
        <v>58</v>
      </c>
      <c r="H592" s="1">
        <v>57</v>
      </c>
      <c r="I592" s="1">
        <v>58</v>
      </c>
    </row>
    <row r="593" spans="1:9" x14ac:dyDescent="0.25">
      <c r="A593" s="2" t="s">
        <v>2</v>
      </c>
      <c r="B593" s="1" t="s">
        <v>10</v>
      </c>
      <c r="C593" s="77" t="s">
        <v>42</v>
      </c>
      <c r="D593" s="77">
        <f>COUNTIF($C$2:C593,C593)</f>
        <v>134</v>
      </c>
      <c r="E593" s="1" t="s">
        <v>73</v>
      </c>
      <c r="F593" s="1" t="s">
        <v>15</v>
      </c>
      <c r="G593" s="1">
        <v>76</v>
      </c>
      <c r="H593" s="1">
        <v>83</v>
      </c>
      <c r="I593" s="1">
        <v>78</v>
      </c>
    </row>
    <row r="594" spans="1:9" x14ac:dyDescent="0.25">
      <c r="A594" s="2" t="s">
        <v>2</v>
      </c>
      <c r="B594" s="1" t="s">
        <v>10</v>
      </c>
      <c r="C594" s="78" t="s">
        <v>52</v>
      </c>
      <c r="D594" s="78">
        <f>COUNTIF($C$2:C594,C594)</f>
        <v>53</v>
      </c>
      <c r="E594" s="1" t="s">
        <v>7</v>
      </c>
      <c r="F594" s="1" t="s">
        <v>14</v>
      </c>
      <c r="G594" s="1">
        <v>63</v>
      </c>
      <c r="H594" s="1">
        <v>46</v>
      </c>
      <c r="I594" s="1">
        <v>46</v>
      </c>
    </row>
    <row r="595" spans="1:9" x14ac:dyDescent="0.25">
      <c r="A595" s="2" t="s">
        <v>2</v>
      </c>
      <c r="B595" s="1" t="s">
        <v>10</v>
      </c>
      <c r="C595" s="78" t="s">
        <v>52</v>
      </c>
      <c r="D595" s="78">
        <f>COUNTIF($C$2:C595,C595)</f>
        <v>54</v>
      </c>
      <c r="E595" s="1" t="s">
        <v>7</v>
      </c>
      <c r="F595" s="1" t="s">
        <v>14</v>
      </c>
      <c r="G595" s="1">
        <v>82</v>
      </c>
      <c r="H595" s="1">
        <v>68</v>
      </c>
      <c r="I595" s="1">
        <v>69</v>
      </c>
    </row>
    <row r="596" spans="1:9" x14ac:dyDescent="0.25">
      <c r="A596" s="2" t="s">
        <v>2</v>
      </c>
      <c r="B596" s="1" t="s">
        <v>10</v>
      </c>
      <c r="C596" s="78" t="s">
        <v>52</v>
      </c>
      <c r="D596" s="78">
        <f>COUNTIF($C$2:C596,C596)</f>
        <v>55</v>
      </c>
      <c r="E596" s="1" t="s">
        <v>7</v>
      </c>
      <c r="F596" s="1" t="s">
        <v>14</v>
      </c>
      <c r="G596" s="1">
        <v>84</v>
      </c>
      <c r="H596" s="1">
        <v>81</v>
      </c>
      <c r="I596" s="1">
        <v>72</v>
      </c>
    </row>
    <row r="597" spans="1:9" x14ac:dyDescent="0.25">
      <c r="A597" s="2" t="s">
        <v>2</v>
      </c>
      <c r="B597" s="1" t="s">
        <v>10</v>
      </c>
      <c r="C597" s="78" t="s">
        <v>52</v>
      </c>
      <c r="D597" s="78">
        <f>COUNTIF($C$2:C597,C597)</f>
        <v>56</v>
      </c>
      <c r="E597" s="1" t="s">
        <v>7</v>
      </c>
      <c r="F597" s="1" t="s">
        <v>14</v>
      </c>
      <c r="G597" s="1">
        <v>84</v>
      </c>
      <c r="H597" s="1">
        <v>80</v>
      </c>
      <c r="I597" s="1">
        <v>77</v>
      </c>
    </row>
    <row r="598" spans="1:9" x14ac:dyDescent="0.25">
      <c r="A598" s="2" t="s">
        <v>2</v>
      </c>
      <c r="B598" s="1" t="s">
        <v>10</v>
      </c>
      <c r="C598" s="78" t="s">
        <v>52</v>
      </c>
      <c r="D598" s="78">
        <f>COUNTIF($C$2:C598,C598)</f>
        <v>57</v>
      </c>
      <c r="E598" s="1" t="s">
        <v>7</v>
      </c>
      <c r="F598" s="1" t="s">
        <v>15</v>
      </c>
      <c r="G598" s="1">
        <v>94</v>
      </c>
      <c r="H598" s="1">
        <v>82</v>
      </c>
      <c r="I598" s="1">
        <v>93</v>
      </c>
    </row>
    <row r="599" spans="1:9" x14ac:dyDescent="0.25">
      <c r="A599" s="2" t="s">
        <v>2</v>
      </c>
      <c r="B599" s="1" t="s">
        <v>10</v>
      </c>
      <c r="C599" s="78" t="s">
        <v>52</v>
      </c>
      <c r="D599" s="78">
        <f>COUNTIF($C$2:C599,C599)</f>
        <v>58</v>
      </c>
      <c r="E599" s="1" t="s">
        <v>7</v>
      </c>
      <c r="F599" s="1" t="s">
        <v>15</v>
      </c>
      <c r="G599" s="1">
        <v>64</v>
      </c>
      <c r="H599" s="1">
        <v>70</v>
      </c>
      <c r="I599" s="1">
        <v>72</v>
      </c>
    </row>
    <row r="600" spans="1:9" x14ac:dyDescent="0.25">
      <c r="A600" s="2" t="s">
        <v>2</v>
      </c>
      <c r="B600" s="1" t="s">
        <v>10</v>
      </c>
      <c r="C600" s="78" t="s">
        <v>52</v>
      </c>
      <c r="D600" s="78">
        <f>COUNTIF($C$2:C600,C600)</f>
        <v>59</v>
      </c>
      <c r="E600" s="1" t="s">
        <v>7</v>
      </c>
      <c r="F600" s="1" t="s">
        <v>15</v>
      </c>
      <c r="G600" s="1">
        <v>62</v>
      </c>
      <c r="H600" s="1">
        <v>60</v>
      </c>
      <c r="I600" s="1">
        <v>55</v>
      </c>
    </row>
    <row r="601" spans="1:9" x14ac:dyDescent="0.25">
      <c r="A601" s="2" t="s">
        <v>2</v>
      </c>
      <c r="B601" s="1" t="s">
        <v>10</v>
      </c>
      <c r="C601" s="78" t="s">
        <v>52</v>
      </c>
      <c r="D601" s="78">
        <f>COUNTIF($C$2:C601,C601)</f>
        <v>60</v>
      </c>
      <c r="E601" s="1" t="s">
        <v>7</v>
      </c>
      <c r="F601" s="1" t="s">
        <v>15</v>
      </c>
      <c r="G601" s="1">
        <v>88</v>
      </c>
      <c r="H601" s="1">
        <v>82</v>
      </c>
      <c r="I601" s="1">
        <v>82</v>
      </c>
    </row>
    <row r="602" spans="1:9" x14ac:dyDescent="0.25">
      <c r="A602" s="2" t="s">
        <v>2</v>
      </c>
      <c r="B602" s="1" t="s">
        <v>10</v>
      </c>
      <c r="C602" s="78" t="s">
        <v>52</v>
      </c>
      <c r="D602" s="78">
        <f>COUNTIF($C$2:C602,C602)</f>
        <v>61</v>
      </c>
      <c r="E602" s="1" t="s">
        <v>73</v>
      </c>
      <c r="F602" s="1" t="s">
        <v>14</v>
      </c>
      <c r="G602" s="1">
        <v>76</v>
      </c>
      <c r="H602" s="1">
        <v>74</v>
      </c>
      <c r="I602" s="1">
        <v>76</v>
      </c>
    </row>
    <row r="603" spans="1:9" x14ac:dyDescent="0.25">
      <c r="A603" s="2" t="s">
        <v>2</v>
      </c>
      <c r="B603" s="1" t="s">
        <v>10</v>
      </c>
      <c r="C603" s="78" t="s">
        <v>52</v>
      </c>
      <c r="D603" s="78">
        <f>COUNTIF($C$2:C603,C603)</f>
        <v>62</v>
      </c>
      <c r="E603" s="1" t="s">
        <v>73</v>
      </c>
      <c r="F603" s="1" t="s">
        <v>14</v>
      </c>
      <c r="G603" s="1">
        <v>57</v>
      </c>
      <c r="H603" s="1">
        <v>54</v>
      </c>
      <c r="I603" s="1">
        <v>44</v>
      </c>
    </row>
    <row r="604" spans="1:9" x14ac:dyDescent="0.25">
      <c r="A604" s="2" t="s">
        <v>2</v>
      </c>
      <c r="B604" s="1" t="s">
        <v>10</v>
      </c>
      <c r="C604" s="78" t="s">
        <v>52</v>
      </c>
      <c r="D604" s="78">
        <f>COUNTIF($C$2:C604,C604)</f>
        <v>63</v>
      </c>
      <c r="E604" s="1" t="s">
        <v>73</v>
      </c>
      <c r="F604" s="1" t="s">
        <v>14</v>
      </c>
      <c r="G604" s="1">
        <v>50</v>
      </c>
      <c r="H604" s="1">
        <v>40</v>
      </c>
      <c r="I604" s="1">
        <v>38</v>
      </c>
    </row>
    <row r="605" spans="1:9" x14ac:dyDescent="0.25">
      <c r="A605" s="2" t="s">
        <v>2</v>
      </c>
      <c r="B605" s="1" t="s">
        <v>10</v>
      </c>
      <c r="C605" s="78" t="s">
        <v>52</v>
      </c>
      <c r="D605" s="78">
        <f>COUNTIF($C$2:C605,C605)</f>
        <v>64</v>
      </c>
      <c r="E605" s="1" t="s">
        <v>73</v>
      </c>
      <c r="F605" s="1" t="s">
        <v>14</v>
      </c>
      <c r="G605" s="1">
        <v>70</v>
      </c>
      <c r="H605" s="1">
        <v>70</v>
      </c>
      <c r="I605" s="1">
        <v>66</v>
      </c>
    </row>
    <row r="606" spans="1:9" x14ac:dyDescent="0.25">
      <c r="A606" s="2" t="s">
        <v>2</v>
      </c>
      <c r="B606" s="1" t="s">
        <v>10</v>
      </c>
      <c r="C606" s="78" t="s">
        <v>52</v>
      </c>
      <c r="D606" s="78">
        <f>COUNTIF($C$2:C606,C606)</f>
        <v>65</v>
      </c>
      <c r="E606" s="1" t="s">
        <v>73</v>
      </c>
      <c r="F606" s="1" t="s">
        <v>14</v>
      </c>
      <c r="G606" s="1">
        <v>55</v>
      </c>
      <c r="H606" s="1">
        <v>59</v>
      </c>
      <c r="I606" s="1">
        <v>49</v>
      </c>
    </row>
    <row r="607" spans="1:9" x14ac:dyDescent="0.25">
      <c r="A607" s="2" t="s">
        <v>2</v>
      </c>
      <c r="B607" s="1" t="s">
        <v>10</v>
      </c>
      <c r="C607" s="78" t="s">
        <v>52</v>
      </c>
      <c r="D607" s="78">
        <f>COUNTIF($C$2:C607,C607)</f>
        <v>66</v>
      </c>
      <c r="E607" s="1" t="s">
        <v>73</v>
      </c>
      <c r="F607" s="1" t="s">
        <v>15</v>
      </c>
      <c r="G607" s="1">
        <v>48</v>
      </c>
      <c r="H607" s="1">
        <v>59</v>
      </c>
      <c r="I607" s="1">
        <v>55</v>
      </c>
    </row>
    <row r="608" spans="1:9" x14ac:dyDescent="0.25">
      <c r="A608" s="2" t="s">
        <v>2</v>
      </c>
      <c r="B608" s="1" t="s">
        <v>10</v>
      </c>
      <c r="C608" s="79" t="s">
        <v>59</v>
      </c>
      <c r="D608" s="79">
        <f>COUNTIF($C$2:C608,C608)</f>
        <v>36</v>
      </c>
      <c r="E608" s="1" t="s">
        <v>7</v>
      </c>
      <c r="F608" s="1" t="s">
        <v>14</v>
      </c>
      <c r="G608" s="1">
        <v>53</v>
      </c>
      <c r="H608" s="1">
        <v>50</v>
      </c>
      <c r="I608" s="1">
        <v>49</v>
      </c>
    </row>
    <row r="609" spans="1:9" x14ac:dyDescent="0.25">
      <c r="A609" s="2" t="s">
        <v>2</v>
      </c>
      <c r="B609" s="1" t="s">
        <v>10</v>
      </c>
      <c r="C609" s="79" t="s">
        <v>59</v>
      </c>
      <c r="D609" s="79">
        <f>COUNTIF($C$2:C609,C609)</f>
        <v>37</v>
      </c>
      <c r="E609" s="1" t="s">
        <v>7</v>
      </c>
      <c r="F609" s="1" t="s">
        <v>14</v>
      </c>
      <c r="G609" s="1">
        <v>68</v>
      </c>
      <c r="H609" s="1">
        <v>65</v>
      </c>
      <c r="I609" s="1">
        <v>60</v>
      </c>
    </row>
    <row r="610" spans="1:9" x14ac:dyDescent="0.25">
      <c r="A610" s="2" t="s">
        <v>2</v>
      </c>
      <c r="B610" s="1" t="s">
        <v>10</v>
      </c>
      <c r="C610" s="79" t="s">
        <v>59</v>
      </c>
      <c r="D610" s="79">
        <f>COUNTIF($C$2:C610,C610)</f>
        <v>38</v>
      </c>
      <c r="E610" s="1" t="s">
        <v>7</v>
      </c>
      <c r="F610" s="1" t="s">
        <v>14</v>
      </c>
      <c r="G610" s="1">
        <v>61</v>
      </c>
      <c r="H610" s="1">
        <v>56</v>
      </c>
      <c r="I610" s="1">
        <v>52</v>
      </c>
    </row>
    <row r="611" spans="1:9" x14ac:dyDescent="0.25">
      <c r="A611" s="2" t="s">
        <v>2</v>
      </c>
      <c r="B611" s="1" t="s">
        <v>10</v>
      </c>
      <c r="C611" s="79" t="s">
        <v>59</v>
      </c>
      <c r="D611" s="79">
        <f>COUNTIF($C$2:C611,C611)</f>
        <v>39</v>
      </c>
      <c r="E611" s="1" t="s">
        <v>7</v>
      </c>
      <c r="F611" s="1" t="s">
        <v>14</v>
      </c>
      <c r="G611" s="1">
        <v>100</v>
      </c>
      <c r="H611" s="1">
        <v>90</v>
      </c>
      <c r="I611" s="1">
        <v>88</v>
      </c>
    </row>
    <row r="612" spans="1:9" x14ac:dyDescent="0.25">
      <c r="A612" s="2" t="s">
        <v>2</v>
      </c>
      <c r="B612" s="1" t="s">
        <v>10</v>
      </c>
      <c r="C612" s="79" t="s">
        <v>59</v>
      </c>
      <c r="D612" s="79">
        <f>COUNTIF($C$2:C612,C612)</f>
        <v>40</v>
      </c>
      <c r="E612" s="1" t="s">
        <v>7</v>
      </c>
      <c r="F612" s="1" t="s">
        <v>14</v>
      </c>
      <c r="G612" s="1">
        <v>88</v>
      </c>
      <c r="H612" s="1">
        <v>78</v>
      </c>
      <c r="I612" s="1">
        <v>84</v>
      </c>
    </row>
    <row r="613" spans="1:9" x14ac:dyDescent="0.25">
      <c r="A613" s="2" t="s">
        <v>2</v>
      </c>
      <c r="B613" s="1" t="s">
        <v>10</v>
      </c>
      <c r="C613" s="79" t="s">
        <v>59</v>
      </c>
      <c r="D613" s="79">
        <f>COUNTIF($C$2:C613,C613)</f>
        <v>41</v>
      </c>
      <c r="E613" s="1" t="s">
        <v>7</v>
      </c>
      <c r="F613" s="1" t="s">
        <v>14</v>
      </c>
      <c r="G613" s="1">
        <v>92</v>
      </c>
      <c r="H613" s="1">
        <v>89</v>
      </c>
      <c r="I613" s="1">
        <v>83</v>
      </c>
    </row>
    <row r="614" spans="1:9" x14ac:dyDescent="0.25">
      <c r="A614" s="2" t="s">
        <v>2</v>
      </c>
      <c r="B614" s="1" t="s">
        <v>10</v>
      </c>
      <c r="C614" s="79" t="s">
        <v>59</v>
      </c>
      <c r="D614" s="79">
        <f>COUNTIF($C$2:C614,C614)</f>
        <v>42</v>
      </c>
      <c r="E614" s="1" t="s">
        <v>73</v>
      </c>
      <c r="F614" s="1" t="s">
        <v>14</v>
      </c>
      <c r="G614" s="1">
        <v>76</v>
      </c>
      <c r="H614" s="1">
        <v>68</v>
      </c>
      <c r="I614" s="1">
        <v>70</v>
      </c>
    </row>
    <row r="615" spans="1:9" x14ac:dyDescent="0.25">
      <c r="A615" s="2" t="s">
        <v>2</v>
      </c>
      <c r="B615" s="1" t="s">
        <v>10</v>
      </c>
      <c r="C615" s="79" t="s">
        <v>59</v>
      </c>
      <c r="D615" s="79">
        <f>COUNTIF($C$2:C615,C615)</f>
        <v>43</v>
      </c>
      <c r="E615" s="1" t="s">
        <v>73</v>
      </c>
      <c r="F615" s="1" t="s">
        <v>14</v>
      </c>
      <c r="G615" s="1">
        <v>65</v>
      </c>
      <c r="H615" s="1">
        <v>65</v>
      </c>
      <c r="I615" s="1">
        <v>62</v>
      </c>
    </row>
    <row r="616" spans="1:9" x14ac:dyDescent="0.25">
      <c r="A616" s="2" t="s">
        <v>2</v>
      </c>
      <c r="B616" s="1" t="s">
        <v>10</v>
      </c>
      <c r="C616" s="79" t="s">
        <v>59</v>
      </c>
      <c r="D616" s="79">
        <f>COUNTIF($C$2:C616,C616)</f>
        <v>44</v>
      </c>
      <c r="E616" s="1" t="s">
        <v>73</v>
      </c>
      <c r="F616" s="1" t="s">
        <v>14</v>
      </c>
      <c r="G616" s="1">
        <v>54</v>
      </c>
      <c r="H616" s="1">
        <v>60</v>
      </c>
      <c r="I616" s="1">
        <v>60</v>
      </c>
    </row>
    <row r="617" spans="1:9" x14ac:dyDescent="0.25">
      <c r="A617" s="2" t="s">
        <v>2</v>
      </c>
      <c r="B617" s="1" t="s">
        <v>10</v>
      </c>
      <c r="C617" s="79" t="s">
        <v>59</v>
      </c>
      <c r="D617" s="79">
        <f>COUNTIF($C$2:C617,C617)</f>
        <v>45</v>
      </c>
      <c r="E617" s="1" t="s">
        <v>73</v>
      </c>
      <c r="F617" s="1" t="s">
        <v>15</v>
      </c>
      <c r="G617" s="1">
        <v>71</v>
      </c>
      <c r="H617" s="1">
        <v>75</v>
      </c>
      <c r="I617" s="1">
        <v>73</v>
      </c>
    </row>
    <row r="618" spans="1:9" x14ac:dyDescent="0.25">
      <c r="A618" s="2" t="s">
        <v>2</v>
      </c>
      <c r="B618" s="1" t="s">
        <v>11</v>
      </c>
      <c r="C618" s="74" t="s">
        <v>53</v>
      </c>
      <c r="D618" s="74">
        <f>COUNTIF($C$2:C618,C618)</f>
        <v>105</v>
      </c>
      <c r="E618" s="1" t="s">
        <v>7</v>
      </c>
      <c r="F618" s="1" t="s">
        <v>14</v>
      </c>
      <c r="G618" s="1">
        <v>68</v>
      </c>
      <c r="H618" s="1">
        <v>57</v>
      </c>
      <c r="I618" s="1">
        <v>54</v>
      </c>
    </row>
    <row r="619" spans="1:9" x14ac:dyDescent="0.25">
      <c r="A619" s="2" t="s">
        <v>2</v>
      </c>
      <c r="B619" s="1" t="s">
        <v>11</v>
      </c>
      <c r="C619" s="74" t="s">
        <v>53</v>
      </c>
      <c r="D619" s="74">
        <f>COUNTIF($C$2:C619,C619)</f>
        <v>106</v>
      </c>
      <c r="E619" s="1" t="s">
        <v>7</v>
      </c>
      <c r="F619" s="1" t="s">
        <v>14</v>
      </c>
      <c r="G619" s="1">
        <v>80</v>
      </c>
      <c r="H619" s="1">
        <v>75</v>
      </c>
      <c r="I619" s="1">
        <v>73</v>
      </c>
    </row>
    <row r="620" spans="1:9" x14ac:dyDescent="0.25">
      <c r="A620" s="2" t="s">
        <v>2</v>
      </c>
      <c r="B620" s="1" t="s">
        <v>11</v>
      </c>
      <c r="C620" s="74" t="s">
        <v>53</v>
      </c>
      <c r="D620" s="74">
        <f>COUNTIF($C$2:C620,C620)</f>
        <v>107</v>
      </c>
      <c r="E620" s="1" t="s">
        <v>7</v>
      </c>
      <c r="F620" s="1" t="s">
        <v>14</v>
      </c>
      <c r="G620" s="1">
        <v>67</v>
      </c>
      <c r="H620" s="1">
        <v>66</v>
      </c>
      <c r="I620" s="1">
        <v>66</v>
      </c>
    </row>
    <row r="621" spans="1:9" x14ac:dyDescent="0.25">
      <c r="A621" s="2" t="s">
        <v>2</v>
      </c>
      <c r="B621" s="1" t="s">
        <v>11</v>
      </c>
      <c r="C621" s="74" t="s">
        <v>53</v>
      </c>
      <c r="D621" s="74">
        <f>COUNTIF($C$2:C621,C621)</f>
        <v>108</v>
      </c>
      <c r="E621" s="1" t="s">
        <v>7</v>
      </c>
      <c r="F621" s="1" t="s">
        <v>14</v>
      </c>
      <c r="G621" s="1">
        <v>59</v>
      </c>
      <c r="H621" s="1">
        <v>50</v>
      </c>
      <c r="I621" s="1">
        <v>41</v>
      </c>
    </row>
    <row r="622" spans="1:9" x14ac:dyDescent="0.25">
      <c r="A622" s="2" t="s">
        <v>2</v>
      </c>
      <c r="B622" s="1" t="s">
        <v>11</v>
      </c>
      <c r="C622" s="74" t="s">
        <v>53</v>
      </c>
      <c r="D622" s="74">
        <f>COUNTIF($C$2:C622,C622)</f>
        <v>109</v>
      </c>
      <c r="E622" s="1" t="s">
        <v>7</v>
      </c>
      <c r="F622" s="1" t="s">
        <v>14</v>
      </c>
      <c r="G622" s="1">
        <v>64</v>
      </c>
      <c r="H622" s="1">
        <v>56</v>
      </c>
      <c r="I622" s="1">
        <v>51</v>
      </c>
    </row>
    <row r="623" spans="1:9" x14ac:dyDescent="0.25">
      <c r="A623" s="2" t="s">
        <v>2</v>
      </c>
      <c r="B623" s="1" t="s">
        <v>11</v>
      </c>
      <c r="C623" s="74" t="s">
        <v>53</v>
      </c>
      <c r="D623" s="74">
        <f>COUNTIF($C$2:C623,C623)</f>
        <v>110</v>
      </c>
      <c r="E623" s="1" t="s">
        <v>7</v>
      </c>
      <c r="F623" s="1" t="s">
        <v>14</v>
      </c>
      <c r="G623" s="1">
        <v>57</v>
      </c>
      <c r="H623" s="1">
        <v>46</v>
      </c>
      <c r="I623" s="1">
        <v>44</v>
      </c>
    </row>
    <row r="624" spans="1:9" x14ac:dyDescent="0.25">
      <c r="A624" s="2" t="s">
        <v>2</v>
      </c>
      <c r="B624" s="1" t="s">
        <v>11</v>
      </c>
      <c r="C624" s="74" t="s">
        <v>53</v>
      </c>
      <c r="D624" s="74">
        <f>COUNTIF($C$2:C624,C624)</f>
        <v>111</v>
      </c>
      <c r="E624" s="1" t="s">
        <v>7</v>
      </c>
      <c r="F624" s="1" t="s">
        <v>14</v>
      </c>
      <c r="G624" s="1">
        <v>77</v>
      </c>
      <c r="H624" s="1">
        <v>79</v>
      </c>
      <c r="I624" s="1">
        <v>76</v>
      </c>
    </row>
    <row r="625" spans="1:9" x14ac:dyDescent="0.25">
      <c r="A625" s="2" t="s">
        <v>2</v>
      </c>
      <c r="B625" s="1" t="s">
        <v>11</v>
      </c>
      <c r="C625" s="74" t="s">
        <v>53</v>
      </c>
      <c r="D625" s="74">
        <f>COUNTIF($C$2:C625,C625)</f>
        <v>112</v>
      </c>
      <c r="E625" s="1" t="s">
        <v>7</v>
      </c>
      <c r="F625" s="1" t="s">
        <v>14</v>
      </c>
      <c r="G625" s="1">
        <v>63</v>
      </c>
      <c r="H625" s="1">
        <v>57</v>
      </c>
      <c r="I625" s="1">
        <v>59</v>
      </c>
    </row>
    <row r="626" spans="1:9" x14ac:dyDescent="0.25">
      <c r="A626" s="2" t="s">
        <v>2</v>
      </c>
      <c r="B626" s="1" t="s">
        <v>11</v>
      </c>
      <c r="C626" s="74" t="s">
        <v>53</v>
      </c>
      <c r="D626" s="74">
        <f>COUNTIF($C$2:C626,C626)</f>
        <v>113</v>
      </c>
      <c r="E626" s="1" t="s">
        <v>7</v>
      </c>
      <c r="F626" s="1" t="s">
        <v>14</v>
      </c>
      <c r="G626" s="1">
        <v>79</v>
      </c>
      <c r="H626" s="1">
        <v>65</v>
      </c>
      <c r="I626" s="1">
        <v>67</v>
      </c>
    </row>
    <row r="627" spans="1:9" x14ac:dyDescent="0.25">
      <c r="A627" s="2" t="s">
        <v>2</v>
      </c>
      <c r="B627" s="1" t="s">
        <v>11</v>
      </c>
      <c r="C627" s="74" t="s">
        <v>53</v>
      </c>
      <c r="D627" s="74">
        <f>COUNTIF($C$2:C627,C627)</f>
        <v>114</v>
      </c>
      <c r="E627" s="1" t="s">
        <v>7</v>
      </c>
      <c r="F627" s="1" t="s">
        <v>14</v>
      </c>
      <c r="G627" s="1">
        <v>67</v>
      </c>
      <c r="H627" s="1">
        <v>65</v>
      </c>
      <c r="I627" s="1">
        <v>62</v>
      </c>
    </row>
    <row r="628" spans="1:9" x14ac:dyDescent="0.25">
      <c r="A628" s="2" t="s">
        <v>2</v>
      </c>
      <c r="B628" s="1" t="s">
        <v>11</v>
      </c>
      <c r="C628" s="74" t="s">
        <v>53</v>
      </c>
      <c r="D628" s="74">
        <f>COUNTIF($C$2:C628,C628)</f>
        <v>115</v>
      </c>
      <c r="E628" s="1" t="s">
        <v>7</v>
      </c>
      <c r="F628" s="1" t="s">
        <v>14</v>
      </c>
      <c r="G628" s="1">
        <v>68</v>
      </c>
      <c r="H628" s="1">
        <v>76</v>
      </c>
      <c r="I628" s="1">
        <v>72</v>
      </c>
    </row>
    <row r="629" spans="1:9" x14ac:dyDescent="0.25">
      <c r="A629" s="2" t="s">
        <v>2</v>
      </c>
      <c r="B629" s="1" t="s">
        <v>11</v>
      </c>
      <c r="C629" s="74" t="s">
        <v>53</v>
      </c>
      <c r="D629" s="74">
        <f>COUNTIF($C$2:C629,C629)</f>
        <v>116</v>
      </c>
      <c r="E629" s="1" t="s">
        <v>7</v>
      </c>
      <c r="F629" s="1" t="s">
        <v>14</v>
      </c>
      <c r="G629" s="1">
        <v>54</v>
      </c>
      <c r="H629" s="1">
        <v>56</v>
      </c>
      <c r="I629" s="1">
        <v>47</v>
      </c>
    </row>
    <row r="630" spans="1:9" x14ac:dyDescent="0.25">
      <c r="A630" s="2" t="s">
        <v>2</v>
      </c>
      <c r="B630" s="1" t="s">
        <v>11</v>
      </c>
      <c r="C630" s="74" t="s">
        <v>53</v>
      </c>
      <c r="D630" s="74">
        <f>COUNTIF($C$2:C630,C630)</f>
        <v>117</v>
      </c>
      <c r="E630" s="1" t="s">
        <v>7</v>
      </c>
      <c r="F630" s="1" t="s">
        <v>14</v>
      </c>
      <c r="G630" s="1">
        <v>63</v>
      </c>
      <c r="H630" s="1">
        <v>59</v>
      </c>
      <c r="I630" s="1">
        <v>51</v>
      </c>
    </row>
    <row r="631" spans="1:9" x14ac:dyDescent="0.25">
      <c r="A631" s="2" t="s">
        <v>2</v>
      </c>
      <c r="B631" s="1" t="s">
        <v>11</v>
      </c>
      <c r="C631" s="74" t="s">
        <v>53</v>
      </c>
      <c r="D631" s="74">
        <f>COUNTIF($C$2:C631,C631)</f>
        <v>118</v>
      </c>
      <c r="E631" s="1" t="s">
        <v>7</v>
      </c>
      <c r="F631" s="1" t="s">
        <v>14</v>
      </c>
      <c r="G631" s="1">
        <v>65</v>
      </c>
      <c r="H631" s="1">
        <v>58</v>
      </c>
      <c r="I631" s="1">
        <v>57</v>
      </c>
    </row>
    <row r="632" spans="1:9" x14ac:dyDescent="0.25">
      <c r="A632" s="2" t="s">
        <v>2</v>
      </c>
      <c r="B632" s="1" t="s">
        <v>11</v>
      </c>
      <c r="C632" s="74" t="s">
        <v>53</v>
      </c>
      <c r="D632" s="74">
        <f>COUNTIF($C$2:C632,C632)</f>
        <v>119</v>
      </c>
      <c r="E632" s="1" t="s">
        <v>7</v>
      </c>
      <c r="F632" s="1" t="s">
        <v>14</v>
      </c>
      <c r="G632" s="1">
        <v>63</v>
      </c>
      <c r="H632" s="1">
        <v>63</v>
      </c>
      <c r="I632" s="1">
        <v>63</v>
      </c>
    </row>
    <row r="633" spans="1:9" x14ac:dyDescent="0.25">
      <c r="A633" s="2" t="s">
        <v>2</v>
      </c>
      <c r="B633" s="1" t="s">
        <v>11</v>
      </c>
      <c r="C633" s="74" t="s">
        <v>53</v>
      </c>
      <c r="D633" s="74">
        <f>COUNTIF($C$2:C633,C633)</f>
        <v>120</v>
      </c>
      <c r="E633" s="1" t="s">
        <v>7</v>
      </c>
      <c r="F633" s="1" t="s">
        <v>14</v>
      </c>
      <c r="G633" s="1">
        <v>84</v>
      </c>
      <c r="H633" s="1">
        <v>84</v>
      </c>
      <c r="I633" s="1">
        <v>74</v>
      </c>
    </row>
    <row r="634" spans="1:9" x14ac:dyDescent="0.25">
      <c r="A634" s="2" t="s">
        <v>2</v>
      </c>
      <c r="B634" s="1" t="s">
        <v>11</v>
      </c>
      <c r="C634" s="74" t="s">
        <v>53</v>
      </c>
      <c r="D634" s="74">
        <f>COUNTIF($C$2:C634,C634)</f>
        <v>121</v>
      </c>
      <c r="E634" s="1" t="s">
        <v>7</v>
      </c>
      <c r="F634" s="1" t="s">
        <v>14</v>
      </c>
      <c r="G634" s="1">
        <v>94</v>
      </c>
      <c r="H634" s="1">
        <v>84</v>
      </c>
      <c r="I634" s="1">
        <v>80</v>
      </c>
    </row>
    <row r="635" spans="1:9" x14ac:dyDescent="0.25">
      <c r="A635" s="2" t="s">
        <v>2</v>
      </c>
      <c r="B635" s="1" t="s">
        <v>11</v>
      </c>
      <c r="C635" s="74" t="s">
        <v>53</v>
      </c>
      <c r="D635" s="74">
        <f>COUNTIF($C$2:C635,C635)</f>
        <v>122</v>
      </c>
      <c r="E635" s="1" t="s">
        <v>7</v>
      </c>
      <c r="F635" s="1" t="s">
        <v>14</v>
      </c>
      <c r="G635" s="1">
        <v>45</v>
      </c>
      <c r="H635" s="1">
        <v>48</v>
      </c>
      <c r="I635" s="1">
        <v>46</v>
      </c>
    </row>
    <row r="636" spans="1:9" x14ac:dyDescent="0.25">
      <c r="A636" s="2" t="s">
        <v>2</v>
      </c>
      <c r="B636" s="1" t="s">
        <v>11</v>
      </c>
      <c r="C636" s="74" t="s">
        <v>53</v>
      </c>
      <c r="D636" s="74">
        <f>COUNTIF($C$2:C636,C636)</f>
        <v>123</v>
      </c>
      <c r="E636" s="1" t="s">
        <v>7</v>
      </c>
      <c r="F636" s="1" t="s">
        <v>14</v>
      </c>
      <c r="G636" s="1">
        <v>83</v>
      </c>
      <c r="H636" s="1">
        <v>84</v>
      </c>
      <c r="I636" s="1">
        <v>78</v>
      </c>
    </row>
    <row r="637" spans="1:9" x14ac:dyDescent="0.25">
      <c r="A637" s="2" t="s">
        <v>2</v>
      </c>
      <c r="B637" s="1" t="s">
        <v>11</v>
      </c>
      <c r="C637" s="74" t="s">
        <v>53</v>
      </c>
      <c r="D637" s="74">
        <f>COUNTIF($C$2:C637,C637)</f>
        <v>124</v>
      </c>
      <c r="E637" s="1" t="s">
        <v>7</v>
      </c>
      <c r="F637" s="1" t="s">
        <v>14</v>
      </c>
      <c r="G637" s="1">
        <v>28</v>
      </c>
      <c r="H637" s="1">
        <v>27</v>
      </c>
      <c r="I637" s="1">
        <v>23</v>
      </c>
    </row>
    <row r="638" spans="1:9" x14ac:dyDescent="0.25">
      <c r="A638" s="2" t="s">
        <v>2</v>
      </c>
      <c r="B638" s="1" t="s">
        <v>11</v>
      </c>
      <c r="C638" s="74" t="s">
        <v>53</v>
      </c>
      <c r="D638" s="74">
        <f>COUNTIF($C$2:C638,C638)</f>
        <v>125</v>
      </c>
      <c r="E638" s="1" t="s">
        <v>7</v>
      </c>
      <c r="F638" s="1" t="s">
        <v>15</v>
      </c>
      <c r="G638" s="1">
        <v>83</v>
      </c>
      <c r="H638" s="1">
        <v>81</v>
      </c>
      <c r="I638" s="1">
        <v>78</v>
      </c>
    </row>
    <row r="639" spans="1:9" x14ac:dyDescent="0.25">
      <c r="A639" s="2" t="s">
        <v>2</v>
      </c>
      <c r="B639" s="1" t="s">
        <v>11</v>
      </c>
      <c r="C639" s="74" t="s">
        <v>53</v>
      </c>
      <c r="D639" s="74">
        <f>COUNTIF($C$2:C639,C639)</f>
        <v>126</v>
      </c>
      <c r="E639" s="1" t="s">
        <v>7</v>
      </c>
      <c r="F639" s="1" t="s">
        <v>15</v>
      </c>
      <c r="G639" s="1">
        <v>52</v>
      </c>
      <c r="H639" s="1">
        <v>59</v>
      </c>
      <c r="I639" s="1">
        <v>59</v>
      </c>
    </row>
    <row r="640" spans="1:9" x14ac:dyDescent="0.25">
      <c r="A640" s="2" t="s">
        <v>2</v>
      </c>
      <c r="B640" s="1" t="s">
        <v>11</v>
      </c>
      <c r="C640" s="74" t="s">
        <v>53</v>
      </c>
      <c r="D640" s="74">
        <f>COUNTIF($C$2:C640,C640)</f>
        <v>127</v>
      </c>
      <c r="E640" s="1" t="s">
        <v>7</v>
      </c>
      <c r="F640" s="1" t="s">
        <v>15</v>
      </c>
      <c r="G640" s="1">
        <v>62</v>
      </c>
      <c r="H640" s="1">
        <v>71</v>
      </c>
      <c r="I640" s="1">
        <v>62</v>
      </c>
    </row>
    <row r="641" spans="1:9" x14ac:dyDescent="0.25">
      <c r="A641" s="2" t="s">
        <v>2</v>
      </c>
      <c r="B641" s="1" t="s">
        <v>11</v>
      </c>
      <c r="C641" s="74" t="s">
        <v>53</v>
      </c>
      <c r="D641" s="74">
        <f>COUNTIF($C$2:C641,C641)</f>
        <v>128</v>
      </c>
      <c r="E641" s="1" t="s">
        <v>7</v>
      </c>
      <c r="F641" s="1" t="s">
        <v>15</v>
      </c>
      <c r="G641" s="1">
        <v>63</v>
      </c>
      <c r="H641" s="1">
        <v>69</v>
      </c>
      <c r="I641" s="1">
        <v>68</v>
      </c>
    </row>
    <row r="642" spans="1:9" x14ac:dyDescent="0.25">
      <c r="A642" s="2" t="s">
        <v>2</v>
      </c>
      <c r="B642" s="1" t="s">
        <v>11</v>
      </c>
      <c r="C642" s="74" t="s">
        <v>53</v>
      </c>
      <c r="D642" s="74">
        <f>COUNTIF($C$2:C642,C642)</f>
        <v>129</v>
      </c>
      <c r="E642" s="1" t="s">
        <v>7</v>
      </c>
      <c r="F642" s="1" t="s">
        <v>15</v>
      </c>
      <c r="G642" s="1">
        <v>86</v>
      </c>
      <c r="H642" s="1">
        <v>89</v>
      </c>
      <c r="I642" s="1">
        <v>87</v>
      </c>
    </row>
    <row r="643" spans="1:9" x14ac:dyDescent="0.25">
      <c r="A643" s="2" t="s">
        <v>2</v>
      </c>
      <c r="B643" s="1" t="s">
        <v>11</v>
      </c>
      <c r="C643" s="74" t="s">
        <v>53</v>
      </c>
      <c r="D643" s="74">
        <f>COUNTIF($C$2:C643,C643)</f>
        <v>130</v>
      </c>
      <c r="E643" s="1" t="s">
        <v>7</v>
      </c>
      <c r="F643" s="1" t="s">
        <v>15</v>
      </c>
      <c r="G643" s="1">
        <v>60</v>
      </c>
      <c r="H643" s="1">
        <v>51</v>
      </c>
      <c r="I643" s="1">
        <v>55</v>
      </c>
    </row>
    <row r="644" spans="1:9" x14ac:dyDescent="0.25">
      <c r="A644" s="2" t="s">
        <v>2</v>
      </c>
      <c r="B644" s="1" t="s">
        <v>11</v>
      </c>
      <c r="C644" s="74" t="s">
        <v>53</v>
      </c>
      <c r="D644" s="74">
        <f>COUNTIF($C$2:C644,C644)</f>
        <v>131</v>
      </c>
      <c r="E644" s="1" t="s">
        <v>73</v>
      </c>
      <c r="F644" s="1" t="s">
        <v>14</v>
      </c>
      <c r="G644" s="1">
        <v>61</v>
      </c>
      <c r="H644" s="1">
        <v>56</v>
      </c>
      <c r="I644" s="1">
        <v>53</v>
      </c>
    </row>
    <row r="645" spans="1:9" x14ac:dyDescent="0.25">
      <c r="A645" s="2" t="s">
        <v>2</v>
      </c>
      <c r="B645" s="1" t="s">
        <v>11</v>
      </c>
      <c r="C645" s="74" t="s">
        <v>53</v>
      </c>
      <c r="D645" s="74">
        <f>COUNTIF($C$2:C645,C645)</f>
        <v>132</v>
      </c>
      <c r="E645" s="1" t="s">
        <v>73</v>
      </c>
      <c r="F645" s="1" t="s">
        <v>14</v>
      </c>
      <c r="G645" s="1">
        <v>74</v>
      </c>
      <c r="H645" s="1">
        <v>66</v>
      </c>
      <c r="I645" s="1">
        <v>64</v>
      </c>
    </row>
    <row r="646" spans="1:9" x14ac:dyDescent="0.25">
      <c r="A646" s="2" t="s">
        <v>2</v>
      </c>
      <c r="B646" s="1" t="s">
        <v>11</v>
      </c>
      <c r="C646" s="74" t="s">
        <v>53</v>
      </c>
      <c r="D646" s="74">
        <f>COUNTIF($C$2:C646,C646)</f>
        <v>133</v>
      </c>
      <c r="E646" s="1" t="s">
        <v>73</v>
      </c>
      <c r="F646" s="1" t="s">
        <v>14</v>
      </c>
      <c r="G646" s="1">
        <v>64</v>
      </c>
      <c r="H646" s="1">
        <v>56</v>
      </c>
      <c r="I646" s="1">
        <v>52</v>
      </c>
    </row>
    <row r="647" spans="1:9" x14ac:dyDescent="0.25">
      <c r="A647" s="2" t="s">
        <v>2</v>
      </c>
      <c r="B647" s="1" t="s">
        <v>11</v>
      </c>
      <c r="C647" s="74" t="s">
        <v>53</v>
      </c>
      <c r="D647" s="74">
        <f>COUNTIF($C$2:C647,C647)</f>
        <v>134</v>
      </c>
      <c r="E647" s="1" t="s">
        <v>73</v>
      </c>
      <c r="F647" s="1" t="s">
        <v>14</v>
      </c>
      <c r="G647" s="1">
        <v>79</v>
      </c>
      <c r="H647" s="1">
        <v>77</v>
      </c>
      <c r="I647" s="1">
        <v>71</v>
      </c>
    </row>
    <row r="648" spans="1:9" x14ac:dyDescent="0.25">
      <c r="A648" s="2" t="s">
        <v>2</v>
      </c>
      <c r="B648" s="1" t="s">
        <v>11</v>
      </c>
      <c r="C648" s="74" t="s">
        <v>53</v>
      </c>
      <c r="D648" s="74">
        <f>COUNTIF($C$2:C648,C648)</f>
        <v>135</v>
      </c>
      <c r="E648" s="1" t="s">
        <v>73</v>
      </c>
      <c r="F648" s="1" t="s">
        <v>15</v>
      </c>
      <c r="G648" s="1">
        <v>63</v>
      </c>
      <c r="H648" s="1">
        <v>69</v>
      </c>
      <c r="I648" s="1">
        <v>63</v>
      </c>
    </row>
    <row r="649" spans="1:9" x14ac:dyDescent="0.25">
      <c r="A649" s="2" t="s">
        <v>2</v>
      </c>
      <c r="B649" s="1" t="s">
        <v>11</v>
      </c>
      <c r="C649" s="75" t="s">
        <v>6</v>
      </c>
      <c r="D649" s="75">
        <f>COUNTIF($C$2:C649,C649)</f>
        <v>139</v>
      </c>
      <c r="E649" s="1" t="s">
        <v>7</v>
      </c>
      <c r="F649" s="1" t="s">
        <v>14</v>
      </c>
      <c r="G649" s="1">
        <v>69</v>
      </c>
      <c r="H649" s="1">
        <v>67</v>
      </c>
      <c r="I649" s="1">
        <v>63</v>
      </c>
    </row>
    <row r="650" spans="1:9" x14ac:dyDescent="0.25">
      <c r="A650" s="2" t="s">
        <v>2</v>
      </c>
      <c r="B650" s="1" t="s">
        <v>11</v>
      </c>
      <c r="C650" s="75" t="s">
        <v>6</v>
      </c>
      <c r="D650" s="75">
        <f>COUNTIF($C$2:C650,C650)</f>
        <v>140</v>
      </c>
      <c r="E650" s="1" t="s">
        <v>7</v>
      </c>
      <c r="F650" s="1" t="s">
        <v>14</v>
      </c>
      <c r="G650" s="1">
        <v>76</v>
      </c>
      <c r="H650" s="1">
        <v>81</v>
      </c>
      <c r="I650" s="1">
        <v>74</v>
      </c>
    </row>
    <row r="651" spans="1:9" x14ac:dyDescent="0.25">
      <c r="A651" s="2" t="s">
        <v>2</v>
      </c>
      <c r="B651" s="1" t="s">
        <v>11</v>
      </c>
      <c r="C651" s="75" t="s">
        <v>6</v>
      </c>
      <c r="D651" s="75">
        <f>COUNTIF($C$2:C651,C651)</f>
        <v>141</v>
      </c>
      <c r="E651" s="1" t="s">
        <v>7</v>
      </c>
      <c r="F651" s="1" t="s">
        <v>14</v>
      </c>
      <c r="G651" s="1">
        <v>84</v>
      </c>
      <c r="H651" s="1">
        <v>77</v>
      </c>
      <c r="I651" s="1">
        <v>80</v>
      </c>
    </row>
    <row r="652" spans="1:9" x14ac:dyDescent="0.25">
      <c r="A652" s="2" t="s">
        <v>2</v>
      </c>
      <c r="B652" s="1" t="s">
        <v>11</v>
      </c>
      <c r="C652" s="75" t="s">
        <v>6</v>
      </c>
      <c r="D652" s="75">
        <f>COUNTIF($C$2:C652,C652)</f>
        <v>142</v>
      </c>
      <c r="E652" s="1" t="s">
        <v>7</v>
      </c>
      <c r="F652" s="1" t="s">
        <v>14</v>
      </c>
      <c r="G652" s="1">
        <v>88</v>
      </c>
      <c r="H652" s="1">
        <v>66</v>
      </c>
      <c r="I652" s="1">
        <v>73</v>
      </c>
    </row>
    <row r="653" spans="1:9" x14ac:dyDescent="0.25">
      <c r="A653" s="2" t="s">
        <v>2</v>
      </c>
      <c r="B653" s="1" t="s">
        <v>11</v>
      </c>
      <c r="C653" s="75" t="s">
        <v>6</v>
      </c>
      <c r="D653" s="75">
        <f>COUNTIF($C$2:C653,C653)</f>
        <v>143</v>
      </c>
      <c r="E653" s="1" t="s">
        <v>7</v>
      </c>
      <c r="F653" s="1" t="s">
        <v>14</v>
      </c>
      <c r="G653" s="1">
        <v>49</v>
      </c>
      <c r="H653" s="1">
        <v>53</v>
      </c>
      <c r="I653" s="1">
        <v>43</v>
      </c>
    </row>
    <row r="654" spans="1:9" x14ac:dyDescent="0.25">
      <c r="A654" s="2" t="s">
        <v>2</v>
      </c>
      <c r="B654" s="1" t="s">
        <v>11</v>
      </c>
      <c r="C654" s="75" t="s">
        <v>6</v>
      </c>
      <c r="D654" s="75">
        <f>COUNTIF($C$2:C654,C654)</f>
        <v>144</v>
      </c>
      <c r="E654" s="1" t="s">
        <v>7</v>
      </c>
      <c r="F654" s="1" t="s">
        <v>14</v>
      </c>
      <c r="G654" s="1">
        <v>66</v>
      </c>
      <c r="H654" s="1">
        <v>63</v>
      </c>
      <c r="I654" s="1">
        <v>63</v>
      </c>
    </row>
    <row r="655" spans="1:9" x14ac:dyDescent="0.25">
      <c r="A655" s="2" t="s">
        <v>2</v>
      </c>
      <c r="B655" s="1" t="s">
        <v>11</v>
      </c>
      <c r="C655" s="75" t="s">
        <v>6</v>
      </c>
      <c r="D655" s="75">
        <f>COUNTIF($C$2:C655,C655)</f>
        <v>145</v>
      </c>
      <c r="E655" s="1" t="s">
        <v>7</v>
      </c>
      <c r="F655" s="1" t="s">
        <v>14</v>
      </c>
      <c r="G655" s="1">
        <v>31</v>
      </c>
      <c r="H655" s="1">
        <v>27</v>
      </c>
      <c r="I655" s="1">
        <v>19</v>
      </c>
    </row>
    <row r="656" spans="1:9" x14ac:dyDescent="0.25">
      <c r="A656" s="2" t="s">
        <v>2</v>
      </c>
      <c r="B656" s="1" t="s">
        <v>11</v>
      </c>
      <c r="C656" s="75" t="s">
        <v>6</v>
      </c>
      <c r="D656" s="75">
        <f>COUNTIF($C$2:C656,C656)</f>
        <v>146</v>
      </c>
      <c r="E656" s="1" t="s">
        <v>7</v>
      </c>
      <c r="F656" s="1" t="s">
        <v>14</v>
      </c>
      <c r="G656" s="1">
        <v>92</v>
      </c>
      <c r="H656" s="1">
        <v>89</v>
      </c>
      <c r="I656" s="1">
        <v>83</v>
      </c>
    </row>
    <row r="657" spans="1:9" x14ac:dyDescent="0.25">
      <c r="A657" s="2" t="s">
        <v>2</v>
      </c>
      <c r="B657" s="1" t="s">
        <v>11</v>
      </c>
      <c r="C657" s="75" t="s">
        <v>6</v>
      </c>
      <c r="D657" s="75">
        <f>COUNTIF($C$2:C657,C657)</f>
        <v>147</v>
      </c>
      <c r="E657" s="1" t="s">
        <v>7</v>
      </c>
      <c r="F657" s="1" t="s">
        <v>14</v>
      </c>
      <c r="G657" s="1">
        <v>90</v>
      </c>
      <c r="H657" s="1">
        <v>79</v>
      </c>
      <c r="I657" s="1">
        <v>75</v>
      </c>
    </row>
    <row r="658" spans="1:9" x14ac:dyDescent="0.25">
      <c r="A658" s="2" t="s">
        <v>2</v>
      </c>
      <c r="B658" s="1" t="s">
        <v>11</v>
      </c>
      <c r="C658" s="75" t="s">
        <v>6</v>
      </c>
      <c r="D658" s="75">
        <f>COUNTIF($C$2:C658,C658)</f>
        <v>148</v>
      </c>
      <c r="E658" s="1" t="s">
        <v>7</v>
      </c>
      <c r="F658" s="1" t="s">
        <v>14</v>
      </c>
      <c r="G658" s="1">
        <v>64</v>
      </c>
      <c r="H658" s="1">
        <v>62</v>
      </c>
      <c r="I658" s="1">
        <v>61</v>
      </c>
    </row>
    <row r="659" spans="1:9" x14ac:dyDescent="0.25">
      <c r="A659" s="2" t="s">
        <v>2</v>
      </c>
      <c r="B659" s="1" t="s">
        <v>11</v>
      </c>
      <c r="C659" s="75" t="s">
        <v>6</v>
      </c>
      <c r="D659" s="75">
        <f>COUNTIF($C$2:C659,C659)</f>
        <v>149</v>
      </c>
      <c r="E659" s="1" t="s">
        <v>7</v>
      </c>
      <c r="F659" s="1" t="s">
        <v>14</v>
      </c>
      <c r="G659" s="1">
        <v>74</v>
      </c>
      <c r="H659" s="1">
        <v>72</v>
      </c>
      <c r="I659" s="1">
        <v>62</v>
      </c>
    </row>
    <row r="660" spans="1:9" x14ac:dyDescent="0.25">
      <c r="A660" s="2" t="s">
        <v>2</v>
      </c>
      <c r="B660" s="1" t="s">
        <v>11</v>
      </c>
      <c r="C660" s="75" t="s">
        <v>6</v>
      </c>
      <c r="D660" s="75">
        <f>COUNTIF($C$2:C660,C660)</f>
        <v>150</v>
      </c>
      <c r="E660" s="1" t="s">
        <v>7</v>
      </c>
      <c r="F660" s="1" t="s">
        <v>14</v>
      </c>
      <c r="G660" s="1">
        <v>65</v>
      </c>
      <c r="H660" s="1">
        <v>69</v>
      </c>
      <c r="I660" s="1">
        <v>56</v>
      </c>
    </row>
    <row r="661" spans="1:9" x14ac:dyDescent="0.25">
      <c r="A661" s="2" t="s">
        <v>2</v>
      </c>
      <c r="B661" s="1" t="s">
        <v>11</v>
      </c>
      <c r="C661" s="75" t="s">
        <v>6</v>
      </c>
      <c r="D661" s="75">
        <f>COUNTIF($C$2:C661,C661)</f>
        <v>151</v>
      </c>
      <c r="E661" s="1" t="s">
        <v>7</v>
      </c>
      <c r="F661" s="1" t="s">
        <v>14</v>
      </c>
      <c r="G661" s="1">
        <v>77</v>
      </c>
      <c r="H661" s="1">
        <v>70</v>
      </c>
      <c r="I661" s="1">
        <v>60</v>
      </c>
    </row>
    <row r="662" spans="1:9" x14ac:dyDescent="0.25">
      <c r="A662" s="2" t="s">
        <v>2</v>
      </c>
      <c r="B662" s="1" t="s">
        <v>11</v>
      </c>
      <c r="C662" s="75" t="s">
        <v>6</v>
      </c>
      <c r="D662" s="75">
        <f>COUNTIF($C$2:C662,C662)</f>
        <v>152</v>
      </c>
      <c r="E662" s="1" t="s">
        <v>7</v>
      </c>
      <c r="F662" s="1" t="s">
        <v>14</v>
      </c>
      <c r="G662" s="1">
        <v>84</v>
      </c>
      <c r="H662" s="1">
        <v>71</v>
      </c>
      <c r="I662" s="1">
        <v>66</v>
      </c>
    </row>
    <row r="663" spans="1:9" x14ac:dyDescent="0.25">
      <c r="A663" s="2" t="s">
        <v>2</v>
      </c>
      <c r="B663" s="1" t="s">
        <v>11</v>
      </c>
      <c r="C663" s="75" t="s">
        <v>6</v>
      </c>
      <c r="D663" s="75">
        <f>COUNTIF($C$2:C663,C663)</f>
        <v>153</v>
      </c>
      <c r="E663" s="1" t="s">
        <v>7</v>
      </c>
      <c r="F663" s="1" t="s">
        <v>14</v>
      </c>
      <c r="G663" s="1">
        <v>90</v>
      </c>
      <c r="H663" s="1">
        <v>78</v>
      </c>
      <c r="I663" s="1">
        <v>78</v>
      </c>
    </row>
    <row r="664" spans="1:9" x14ac:dyDescent="0.25">
      <c r="A664" s="2" t="s">
        <v>2</v>
      </c>
      <c r="B664" s="1" t="s">
        <v>11</v>
      </c>
      <c r="C664" s="75" t="s">
        <v>6</v>
      </c>
      <c r="D664" s="75">
        <f>COUNTIF($C$2:C664,C664)</f>
        <v>154</v>
      </c>
      <c r="E664" s="1" t="s">
        <v>7</v>
      </c>
      <c r="F664" s="1" t="s">
        <v>14</v>
      </c>
      <c r="G664" s="1">
        <v>69</v>
      </c>
      <c r="H664" s="1">
        <v>58</v>
      </c>
      <c r="I664" s="1">
        <v>52</v>
      </c>
    </row>
    <row r="665" spans="1:9" x14ac:dyDescent="0.25">
      <c r="A665" s="2" t="s">
        <v>2</v>
      </c>
      <c r="B665" s="1" t="s">
        <v>11</v>
      </c>
      <c r="C665" s="75" t="s">
        <v>6</v>
      </c>
      <c r="D665" s="75">
        <f>COUNTIF($C$2:C665,C665)</f>
        <v>155</v>
      </c>
      <c r="E665" s="1" t="s">
        <v>7</v>
      </c>
      <c r="F665" s="1" t="s">
        <v>14</v>
      </c>
      <c r="G665" s="1">
        <v>79</v>
      </c>
      <c r="H665" s="1">
        <v>72</v>
      </c>
      <c r="I665" s="1">
        <v>72</v>
      </c>
    </row>
    <row r="666" spans="1:9" x14ac:dyDescent="0.25">
      <c r="A666" s="2" t="s">
        <v>2</v>
      </c>
      <c r="B666" s="1" t="s">
        <v>11</v>
      </c>
      <c r="C666" s="75" t="s">
        <v>6</v>
      </c>
      <c r="D666" s="75">
        <f>COUNTIF($C$2:C666,C666)</f>
        <v>156</v>
      </c>
      <c r="E666" s="1" t="s">
        <v>7</v>
      </c>
      <c r="F666" s="1" t="s">
        <v>14</v>
      </c>
      <c r="G666" s="1">
        <v>65</v>
      </c>
      <c r="H666" s="1">
        <v>70</v>
      </c>
      <c r="I666" s="1">
        <v>57</v>
      </c>
    </row>
    <row r="667" spans="1:9" x14ac:dyDescent="0.25">
      <c r="A667" s="2" t="s">
        <v>2</v>
      </c>
      <c r="B667" s="1" t="s">
        <v>11</v>
      </c>
      <c r="C667" s="75" t="s">
        <v>6</v>
      </c>
      <c r="D667" s="75">
        <f>COUNTIF($C$2:C667,C667)</f>
        <v>157</v>
      </c>
      <c r="E667" s="1" t="s">
        <v>7</v>
      </c>
      <c r="F667" s="1" t="s">
        <v>15</v>
      </c>
      <c r="G667" s="1">
        <v>78</v>
      </c>
      <c r="H667" s="1">
        <v>81</v>
      </c>
      <c r="I667" s="1">
        <v>80</v>
      </c>
    </row>
    <row r="668" spans="1:9" x14ac:dyDescent="0.25">
      <c r="A668" s="2" t="s">
        <v>2</v>
      </c>
      <c r="B668" s="1" t="s">
        <v>11</v>
      </c>
      <c r="C668" s="75" t="s">
        <v>6</v>
      </c>
      <c r="D668" s="75">
        <f>COUNTIF($C$2:C668,C668)</f>
        <v>158</v>
      </c>
      <c r="E668" s="1" t="s">
        <v>7</v>
      </c>
      <c r="F668" s="1" t="s">
        <v>15</v>
      </c>
      <c r="G668" s="1">
        <v>88</v>
      </c>
      <c r="H668" s="1">
        <v>75</v>
      </c>
      <c r="I668" s="1">
        <v>72</v>
      </c>
    </row>
    <row r="669" spans="1:9" x14ac:dyDescent="0.25">
      <c r="A669" s="2" t="s">
        <v>2</v>
      </c>
      <c r="B669" s="1" t="s">
        <v>11</v>
      </c>
      <c r="C669" s="75" t="s">
        <v>6</v>
      </c>
      <c r="D669" s="75">
        <f>COUNTIF($C$2:C669,C669)</f>
        <v>159</v>
      </c>
      <c r="E669" s="1" t="s">
        <v>7</v>
      </c>
      <c r="F669" s="1" t="s">
        <v>15</v>
      </c>
      <c r="G669" s="1">
        <v>64</v>
      </c>
      <c r="H669" s="1">
        <v>66</v>
      </c>
      <c r="I669" s="1">
        <v>69</v>
      </c>
    </row>
    <row r="670" spans="1:9" x14ac:dyDescent="0.25">
      <c r="A670" s="2" t="s">
        <v>2</v>
      </c>
      <c r="B670" s="1" t="s">
        <v>11</v>
      </c>
      <c r="C670" s="75" t="s">
        <v>6</v>
      </c>
      <c r="D670" s="75">
        <f>COUNTIF($C$2:C670,C670)</f>
        <v>160</v>
      </c>
      <c r="E670" s="1" t="s">
        <v>7</v>
      </c>
      <c r="F670" s="1" t="s">
        <v>15</v>
      </c>
      <c r="G670" s="1">
        <v>72</v>
      </c>
      <c r="H670" s="1">
        <v>67</v>
      </c>
      <c r="I670" s="1">
        <v>67</v>
      </c>
    </row>
    <row r="671" spans="1:9" x14ac:dyDescent="0.25">
      <c r="A671" s="2" t="s">
        <v>2</v>
      </c>
      <c r="B671" s="1" t="s">
        <v>11</v>
      </c>
      <c r="C671" s="75" t="s">
        <v>6</v>
      </c>
      <c r="D671" s="75">
        <f>COUNTIF($C$2:C671,C671)</f>
        <v>161</v>
      </c>
      <c r="E671" s="1" t="s">
        <v>7</v>
      </c>
      <c r="F671" s="1" t="s">
        <v>15</v>
      </c>
      <c r="G671" s="1">
        <v>67</v>
      </c>
      <c r="H671" s="1">
        <v>63</v>
      </c>
      <c r="I671" s="1">
        <v>67</v>
      </c>
    </row>
    <row r="672" spans="1:9" x14ac:dyDescent="0.25">
      <c r="A672" s="2" t="s">
        <v>2</v>
      </c>
      <c r="B672" s="1" t="s">
        <v>11</v>
      </c>
      <c r="C672" s="75" t="s">
        <v>6</v>
      </c>
      <c r="D672" s="75">
        <f>COUNTIF($C$2:C672,C672)</f>
        <v>162</v>
      </c>
      <c r="E672" s="1" t="s">
        <v>7</v>
      </c>
      <c r="F672" s="1" t="s">
        <v>15</v>
      </c>
      <c r="G672" s="1">
        <v>75</v>
      </c>
      <c r="H672" s="1">
        <v>69</v>
      </c>
      <c r="I672" s="1">
        <v>67</v>
      </c>
    </row>
    <row r="673" spans="1:9" x14ac:dyDescent="0.25">
      <c r="A673" s="2" t="s">
        <v>2</v>
      </c>
      <c r="B673" s="1" t="s">
        <v>11</v>
      </c>
      <c r="C673" s="75" t="s">
        <v>6</v>
      </c>
      <c r="D673" s="75">
        <f>COUNTIF($C$2:C673,C673)</f>
        <v>163</v>
      </c>
      <c r="E673" s="1" t="s">
        <v>7</v>
      </c>
      <c r="F673" s="1" t="s">
        <v>15</v>
      </c>
      <c r="G673" s="1">
        <v>72</v>
      </c>
      <c r="H673" s="1">
        <v>63</v>
      </c>
      <c r="I673" s="1">
        <v>66</v>
      </c>
    </row>
    <row r="674" spans="1:9" x14ac:dyDescent="0.25">
      <c r="A674" s="2" t="s">
        <v>2</v>
      </c>
      <c r="B674" s="1" t="s">
        <v>11</v>
      </c>
      <c r="C674" s="75" t="s">
        <v>6</v>
      </c>
      <c r="D674" s="75">
        <f>COUNTIF($C$2:C674,C674)</f>
        <v>164</v>
      </c>
      <c r="E674" s="1" t="s">
        <v>73</v>
      </c>
      <c r="F674" s="1" t="s">
        <v>14</v>
      </c>
      <c r="G674" s="1">
        <v>66</v>
      </c>
      <c r="H674" s="1">
        <v>66</v>
      </c>
      <c r="I674" s="1">
        <v>62</v>
      </c>
    </row>
    <row r="675" spans="1:9" x14ac:dyDescent="0.25">
      <c r="A675" s="2" t="s">
        <v>2</v>
      </c>
      <c r="B675" s="1" t="s">
        <v>11</v>
      </c>
      <c r="C675" s="75" t="s">
        <v>6</v>
      </c>
      <c r="D675" s="75">
        <f>COUNTIF($C$2:C675,C675)</f>
        <v>165</v>
      </c>
      <c r="E675" s="1" t="s">
        <v>73</v>
      </c>
      <c r="F675" s="1" t="s">
        <v>14</v>
      </c>
      <c r="G675" s="1">
        <v>75</v>
      </c>
      <c r="H675" s="1">
        <v>77</v>
      </c>
      <c r="I675" s="1">
        <v>66</v>
      </c>
    </row>
    <row r="676" spans="1:9" x14ac:dyDescent="0.25">
      <c r="A676" s="2" t="s">
        <v>2</v>
      </c>
      <c r="B676" s="1" t="s">
        <v>11</v>
      </c>
      <c r="C676" s="75" t="s">
        <v>6</v>
      </c>
      <c r="D676" s="75">
        <f>COUNTIF($C$2:C676,C676)</f>
        <v>166</v>
      </c>
      <c r="E676" s="1" t="s">
        <v>73</v>
      </c>
      <c r="F676" s="1" t="s">
        <v>14</v>
      </c>
      <c r="G676" s="1">
        <v>66</v>
      </c>
      <c r="H676" s="1">
        <v>66</v>
      </c>
      <c r="I676" s="1">
        <v>58</v>
      </c>
    </row>
    <row r="677" spans="1:9" x14ac:dyDescent="0.25">
      <c r="A677" s="2" t="s">
        <v>2</v>
      </c>
      <c r="B677" s="1" t="s">
        <v>11</v>
      </c>
      <c r="C677" s="75" t="s">
        <v>6</v>
      </c>
      <c r="D677" s="75">
        <f>COUNTIF($C$2:C677,C677)</f>
        <v>167</v>
      </c>
      <c r="E677" s="1" t="s">
        <v>73</v>
      </c>
      <c r="F677" s="1" t="s">
        <v>14</v>
      </c>
      <c r="G677" s="1">
        <v>20</v>
      </c>
      <c r="H677" s="1">
        <v>25</v>
      </c>
      <c r="I677" s="1">
        <v>15</v>
      </c>
    </row>
    <row r="678" spans="1:9" x14ac:dyDescent="0.25">
      <c r="A678" s="2" t="s">
        <v>2</v>
      </c>
      <c r="B678" s="1" t="s">
        <v>11</v>
      </c>
      <c r="C678" s="75" t="s">
        <v>6</v>
      </c>
      <c r="D678" s="75">
        <f>COUNTIF($C$2:C678,C678)</f>
        <v>168</v>
      </c>
      <c r="E678" s="1" t="s">
        <v>73</v>
      </c>
      <c r="F678" s="1" t="s">
        <v>14</v>
      </c>
      <c r="G678" s="1">
        <v>75</v>
      </c>
      <c r="H678" s="1">
        <v>79</v>
      </c>
      <c r="I678" s="1">
        <v>68</v>
      </c>
    </row>
    <row r="679" spans="1:9" x14ac:dyDescent="0.25">
      <c r="A679" s="2" t="s">
        <v>2</v>
      </c>
      <c r="B679" s="1" t="s">
        <v>11</v>
      </c>
      <c r="C679" s="75" t="s">
        <v>6</v>
      </c>
      <c r="D679" s="75">
        <f>COUNTIF($C$2:C679,C679)</f>
        <v>169</v>
      </c>
      <c r="E679" s="1" t="s">
        <v>73</v>
      </c>
      <c r="F679" s="1" t="s">
        <v>14</v>
      </c>
      <c r="G679" s="1">
        <v>51</v>
      </c>
      <c r="H679" s="1">
        <v>57</v>
      </c>
      <c r="I679" s="1">
        <v>44</v>
      </c>
    </row>
    <row r="680" spans="1:9" x14ac:dyDescent="0.25">
      <c r="A680" s="2" t="s">
        <v>2</v>
      </c>
      <c r="B680" s="1" t="s">
        <v>11</v>
      </c>
      <c r="C680" s="75" t="s">
        <v>6</v>
      </c>
      <c r="D680" s="75">
        <f>COUNTIF($C$2:C680,C680)</f>
        <v>170</v>
      </c>
      <c r="E680" s="1" t="s">
        <v>73</v>
      </c>
      <c r="F680" s="1" t="s">
        <v>14</v>
      </c>
      <c r="G680" s="1">
        <v>72</v>
      </c>
      <c r="H680" s="1">
        <v>68</v>
      </c>
      <c r="I680" s="1">
        <v>62</v>
      </c>
    </row>
    <row r="681" spans="1:9" x14ac:dyDescent="0.25">
      <c r="A681" s="2" t="s">
        <v>2</v>
      </c>
      <c r="B681" s="1" t="s">
        <v>11</v>
      </c>
      <c r="C681" s="75" t="s">
        <v>6</v>
      </c>
      <c r="D681" s="75">
        <f>COUNTIF($C$2:C681,C681)</f>
        <v>171</v>
      </c>
      <c r="E681" s="1" t="s">
        <v>73</v>
      </c>
      <c r="F681" s="1" t="s">
        <v>14</v>
      </c>
      <c r="G681" s="1">
        <v>34</v>
      </c>
      <c r="H681" s="1">
        <v>37</v>
      </c>
      <c r="I681" s="1">
        <v>27</v>
      </c>
    </row>
    <row r="682" spans="1:9" x14ac:dyDescent="0.25">
      <c r="A682" s="2" t="s">
        <v>2</v>
      </c>
      <c r="B682" s="1" t="s">
        <v>11</v>
      </c>
      <c r="C682" s="75" t="s">
        <v>6</v>
      </c>
      <c r="D682" s="75">
        <f>COUNTIF($C$2:C682,C682)</f>
        <v>172</v>
      </c>
      <c r="E682" s="1" t="s">
        <v>73</v>
      </c>
      <c r="F682" s="1" t="s">
        <v>14</v>
      </c>
      <c r="G682" s="1">
        <v>45</v>
      </c>
      <c r="H682" s="1">
        <v>43</v>
      </c>
      <c r="I682" s="1">
        <v>47</v>
      </c>
    </row>
    <row r="683" spans="1:9" x14ac:dyDescent="0.25">
      <c r="A683" s="2" t="s">
        <v>2</v>
      </c>
      <c r="B683" s="1" t="s">
        <v>11</v>
      </c>
      <c r="C683" s="75" t="s">
        <v>6</v>
      </c>
      <c r="D683" s="75">
        <f>COUNTIF($C$2:C683,C683)</f>
        <v>173</v>
      </c>
      <c r="E683" s="1" t="s">
        <v>73</v>
      </c>
      <c r="F683" s="1" t="s">
        <v>14</v>
      </c>
      <c r="G683" s="1">
        <v>56</v>
      </c>
      <c r="H683" s="1">
        <v>67</v>
      </c>
      <c r="I683" s="1">
        <v>62</v>
      </c>
    </row>
    <row r="684" spans="1:9" x14ac:dyDescent="0.25">
      <c r="A684" s="2" t="s">
        <v>2</v>
      </c>
      <c r="B684" s="1" t="s">
        <v>11</v>
      </c>
      <c r="C684" s="75" t="s">
        <v>6</v>
      </c>
      <c r="D684" s="75">
        <f>COUNTIF($C$2:C684,C684)</f>
        <v>174</v>
      </c>
      <c r="E684" s="1" t="s">
        <v>73</v>
      </c>
      <c r="F684" s="1" t="s">
        <v>14</v>
      </c>
      <c r="G684" s="1">
        <v>59</v>
      </c>
      <c r="H684" s="1">
        <v>60</v>
      </c>
      <c r="I684" s="1">
        <v>56</v>
      </c>
    </row>
    <row r="685" spans="1:9" x14ac:dyDescent="0.25">
      <c r="A685" s="2" t="s">
        <v>2</v>
      </c>
      <c r="B685" s="1" t="s">
        <v>11</v>
      </c>
      <c r="C685" s="75" t="s">
        <v>6</v>
      </c>
      <c r="D685" s="75">
        <f>COUNTIF($C$2:C685,C685)</f>
        <v>175</v>
      </c>
      <c r="E685" s="1" t="s">
        <v>73</v>
      </c>
      <c r="F685" s="1" t="s">
        <v>15</v>
      </c>
      <c r="G685" s="1">
        <v>64</v>
      </c>
      <c r="H685" s="1">
        <v>71</v>
      </c>
      <c r="I685" s="1">
        <v>68</v>
      </c>
    </row>
    <row r="686" spans="1:9" x14ac:dyDescent="0.25">
      <c r="A686" s="2" t="s">
        <v>2</v>
      </c>
      <c r="B686" s="1" t="s">
        <v>11</v>
      </c>
      <c r="C686" s="75" t="s">
        <v>6</v>
      </c>
      <c r="D686" s="75">
        <f>COUNTIF($C$2:C686,C686)</f>
        <v>176</v>
      </c>
      <c r="E686" s="1" t="s">
        <v>73</v>
      </c>
      <c r="F686" s="1" t="s">
        <v>15</v>
      </c>
      <c r="G686" s="1">
        <v>54</v>
      </c>
      <c r="H686" s="1">
        <v>53</v>
      </c>
      <c r="I686" s="1">
        <v>51</v>
      </c>
    </row>
    <row r="687" spans="1:9" x14ac:dyDescent="0.25">
      <c r="A687" s="2" t="s">
        <v>2</v>
      </c>
      <c r="B687" s="1" t="s">
        <v>11</v>
      </c>
      <c r="C687" s="75" t="s">
        <v>6</v>
      </c>
      <c r="D687" s="75">
        <f>COUNTIF($C$2:C687,C687)</f>
        <v>177</v>
      </c>
      <c r="E687" s="1" t="s">
        <v>73</v>
      </c>
      <c r="F687" s="1" t="s">
        <v>15</v>
      </c>
      <c r="G687" s="1">
        <v>41</v>
      </c>
      <c r="H687" s="1">
        <v>57</v>
      </c>
      <c r="I687" s="1">
        <v>55</v>
      </c>
    </row>
    <row r="688" spans="1:9" x14ac:dyDescent="0.25">
      <c r="A688" s="2" t="s">
        <v>2</v>
      </c>
      <c r="B688" s="1" t="s">
        <v>11</v>
      </c>
      <c r="C688" s="75" t="s">
        <v>6</v>
      </c>
      <c r="D688" s="75">
        <f>COUNTIF($C$2:C688,C688)</f>
        <v>178</v>
      </c>
      <c r="E688" s="1" t="s">
        <v>73</v>
      </c>
      <c r="F688" s="1" t="s">
        <v>15</v>
      </c>
      <c r="G688" s="1">
        <v>77</v>
      </c>
      <c r="H688" s="1">
        <v>80</v>
      </c>
      <c r="I688" s="1">
        <v>74</v>
      </c>
    </row>
    <row r="689" spans="1:9" x14ac:dyDescent="0.25">
      <c r="A689" s="2" t="s">
        <v>2</v>
      </c>
      <c r="B689" s="1" t="s">
        <v>11</v>
      </c>
      <c r="C689" s="76" t="s">
        <v>54</v>
      </c>
      <c r="D689" s="76">
        <f>COUNTIF($C$2:C689,C689)</f>
        <v>130</v>
      </c>
      <c r="E689" s="1" t="s">
        <v>7</v>
      </c>
      <c r="F689" s="1" t="s">
        <v>14</v>
      </c>
      <c r="G689" s="1">
        <v>88</v>
      </c>
      <c r="H689" s="1">
        <v>80</v>
      </c>
      <c r="I689" s="1">
        <v>81</v>
      </c>
    </row>
    <row r="690" spans="1:9" x14ac:dyDescent="0.25">
      <c r="A690" s="2" t="s">
        <v>2</v>
      </c>
      <c r="B690" s="1" t="s">
        <v>11</v>
      </c>
      <c r="C690" s="76" t="s">
        <v>54</v>
      </c>
      <c r="D690" s="76">
        <f>COUNTIF($C$2:C690,C690)</f>
        <v>131</v>
      </c>
      <c r="E690" s="1" t="s">
        <v>7</v>
      </c>
      <c r="F690" s="1" t="s">
        <v>14</v>
      </c>
      <c r="G690" s="1">
        <v>49</v>
      </c>
      <c r="H690" s="1">
        <v>53</v>
      </c>
      <c r="I690" s="1">
        <v>47</v>
      </c>
    </row>
    <row r="691" spans="1:9" x14ac:dyDescent="0.25">
      <c r="A691" s="2" t="s">
        <v>2</v>
      </c>
      <c r="B691" s="1" t="s">
        <v>11</v>
      </c>
      <c r="C691" s="76" t="s">
        <v>54</v>
      </c>
      <c r="D691" s="76">
        <f>COUNTIF($C$2:C691,C691)</f>
        <v>132</v>
      </c>
      <c r="E691" s="1" t="s">
        <v>7</v>
      </c>
      <c r="F691" s="1" t="s">
        <v>14</v>
      </c>
      <c r="G691" s="1">
        <v>65</v>
      </c>
      <c r="H691" s="1">
        <v>63</v>
      </c>
      <c r="I691" s="1">
        <v>57</v>
      </c>
    </row>
    <row r="692" spans="1:9" x14ac:dyDescent="0.25">
      <c r="A692" s="2" t="s">
        <v>2</v>
      </c>
      <c r="B692" s="1" t="s">
        <v>11</v>
      </c>
      <c r="C692" s="76" t="s">
        <v>54</v>
      </c>
      <c r="D692" s="76">
        <f>COUNTIF($C$2:C692,C692)</f>
        <v>133</v>
      </c>
      <c r="E692" s="1" t="s">
        <v>7</v>
      </c>
      <c r="F692" s="1" t="s">
        <v>14</v>
      </c>
      <c r="G692" s="1">
        <v>91</v>
      </c>
      <c r="H692" s="1">
        <v>84</v>
      </c>
      <c r="I692" s="1">
        <v>77</v>
      </c>
    </row>
    <row r="693" spans="1:9" x14ac:dyDescent="0.25">
      <c r="A693" s="2" t="s">
        <v>2</v>
      </c>
      <c r="B693" s="1" t="s">
        <v>11</v>
      </c>
      <c r="C693" s="76" t="s">
        <v>54</v>
      </c>
      <c r="D693" s="76">
        <f>COUNTIF($C$2:C693,C693)</f>
        <v>134</v>
      </c>
      <c r="E693" s="1" t="s">
        <v>7</v>
      </c>
      <c r="F693" s="1" t="s">
        <v>14</v>
      </c>
      <c r="G693" s="1">
        <v>50</v>
      </c>
      <c r="H693" s="1">
        <v>42</v>
      </c>
      <c r="I693" s="1">
        <v>35</v>
      </c>
    </row>
    <row r="694" spans="1:9" x14ac:dyDescent="0.25">
      <c r="A694" s="2" t="s">
        <v>2</v>
      </c>
      <c r="B694" s="1" t="s">
        <v>11</v>
      </c>
      <c r="C694" s="76" t="s">
        <v>54</v>
      </c>
      <c r="D694" s="76">
        <f>COUNTIF($C$2:C694,C694)</f>
        <v>135</v>
      </c>
      <c r="E694" s="1" t="s">
        <v>7</v>
      </c>
      <c r="F694" s="1" t="s">
        <v>14</v>
      </c>
      <c r="G694" s="1">
        <v>76</v>
      </c>
      <c r="H694" s="1">
        <v>61</v>
      </c>
      <c r="I694" s="1">
        <v>62</v>
      </c>
    </row>
    <row r="695" spans="1:9" x14ac:dyDescent="0.25">
      <c r="A695" s="2" t="s">
        <v>2</v>
      </c>
      <c r="B695" s="1" t="s">
        <v>11</v>
      </c>
      <c r="C695" s="76" t="s">
        <v>54</v>
      </c>
      <c r="D695" s="76">
        <f>COUNTIF($C$2:C695,C695)</f>
        <v>136</v>
      </c>
      <c r="E695" s="1" t="s">
        <v>7</v>
      </c>
      <c r="F695" s="1" t="s">
        <v>14</v>
      </c>
      <c r="G695" s="1">
        <v>81</v>
      </c>
      <c r="H695" s="1">
        <v>77</v>
      </c>
      <c r="I695" s="1">
        <v>71</v>
      </c>
    </row>
    <row r="696" spans="1:9" x14ac:dyDescent="0.25">
      <c r="A696" s="2" t="s">
        <v>2</v>
      </c>
      <c r="B696" s="1" t="s">
        <v>11</v>
      </c>
      <c r="C696" s="76" t="s">
        <v>54</v>
      </c>
      <c r="D696" s="76">
        <f>COUNTIF($C$2:C696,C696)</f>
        <v>137</v>
      </c>
      <c r="E696" s="1" t="s">
        <v>7</v>
      </c>
      <c r="F696" s="1" t="s">
        <v>14</v>
      </c>
      <c r="G696" s="1">
        <v>80</v>
      </c>
      <c r="H696" s="1">
        <v>76</v>
      </c>
      <c r="I696" s="1">
        <v>74</v>
      </c>
    </row>
    <row r="697" spans="1:9" x14ac:dyDescent="0.25">
      <c r="A697" s="2" t="s">
        <v>2</v>
      </c>
      <c r="B697" s="1" t="s">
        <v>11</v>
      </c>
      <c r="C697" s="76" t="s">
        <v>54</v>
      </c>
      <c r="D697" s="76">
        <f>COUNTIF($C$2:C697,C697)</f>
        <v>138</v>
      </c>
      <c r="E697" s="1" t="s">
        <v>7</v>
      </c>
      <c r="F697" s="1" t="s">
        <v>14</v>
      </c>
      <c r="G697" s="1">
        <v>76</v>
      </c>
      <c r="H697" s="1">
        <v>72</v>
      </c>
      <c r="I697" s="1">
        <v>73</v>
      </c>
    </row>
    <row r="698" spans="1:9" x14ac:dyDescent="0.25">
      <c r="A698" s="2" t="s">
        <v>2</v>
      </c>
      <c r="B698" s="1" t="s">
        <v>11</v>
      </c>
      <c r="C698" s="76" t="s">
        <v>54</v>
      </c>
      <c r="D698" s="76">
        <f>COUNTIF($C$2:C698,C698)</f>
        <v>139</v>
      </c>
      <c r="E698" s="1" t="s">
        <v>7</v>
      </c>
      <c r="F698" s="1" t="s">
        <v>14</v>
      </c>
      <c r="G698" s="1">
        <v>76</v>
      </c>
      <c r="H698" s="1">
        <v>74</v>
      </c>
      <c r="I698" s="1">
        <v>67</v>
      </c>
    </row>
    <row r="699" spans="1:9" x14ac:dyDescent="0.25">
      <c r="A699" s="2" t="s">
        <v>2</v>
      </c>
      <c r="B699" s="1" t="s">
        <v>11</v>
      </c>
      <c r="C699" s="76" t="s">
        <v>54</v>
      </c>
      <c r="D699" s="76">
        <f>COUNTIF($C$2:C699,C699)</f>
        <v>140</v>
      </c>
      <c r="E699" s="1" t="s">
        <v>7</v>
      </c>
      <c r="F699" s="1" t="s">
        <v>15</v>
      </c>
      <c r="G699" s="1">
        <v>76</v>
      </c>
      <c r="H699" s="1">
        <v>82</v>
      </c>
      <c r="I699" s="1">
        <v>77</v>
      </c>
    </row>
    <row r="700" spans="1:9" x14ac:dyDescent="0.25">
      <c r="A700" s="2" t="s">
        <v>2</v>
      </c>
      <c r="B700" s="1" t="s">
        <v>11</v>
      </c>
      <c r="C700" s="76" t="s">
        <v>54</v>
      </c>
      <c r="D700" s="76">
        <f>COUNTIF($C$2:C700,C700)</f>
        <v>141</v>
      </c>
      <c r="E700" s="1" t="s">
        <v>73</v>
      </c>
      <c r="F700" s="1" t="s">
        <v>14</v>
      </c>
      <c r="G700" s="1">
        <v>57</v>
      </c>
      <c r="H700" s="1">
        <v>58</v>
      </c>
      <c r="I700" s="1">
        <v>51</v>
      </c>
    </row>
    <row r="701" spans="1:9" x14ac:dyDescent="0.25">
      <c r="A701" s="2" t="s">
        <v>2</v>
      </c>
      <c r="B701" s="1" t="s">
        <v>11</v>
      </c>
      <c r="C701" s="76" t="s">
        <v>54</v>
      </c>
      <c r="D701" s="76">
        <f>COUNTIF($C$2:C701,C701)</f>
        <v>142</v>
      </c>
      <c r="E701" s="1" t="s">
        <v>73</v>
      </c>
      <c r="F701" s="1" t="s">
        <v>14</v>
      </c>
      <c r="G701" s="1">
        <v>72</v>
      </c>
      <c r="H701" s="1">
        <v>80</v>
      </c>
      <c r="I701" s="1">
        <v>75</v>
      </c>
    </row>
    <row r="702" spans="1:9" x14ac:dyDescent="0.25">
      <c r="A702" s="2" t="s">
        <v>2</v>
      </c>
      <c r="B702" s="1" t="s">
        <v>11</v>
      </c>
      <c r="C702" s="76" t="s">
        <v>54</v>
      </c>
      <c r="D702" s="76">
        <f>COUNTIF($C$2:C702,C702)</f>
        <v>143</v>
      </c>
      <c r="E702" s="1" t="s">
        <v>73</v>
      </c>
      <c r="F702" s="1" t="s">
        <v>14</v>
      </c>
      <c r="G702" s="1">
        <v>73</v>
      </c>
      <c r="H702" s="1">
        <v>66</v>
      </c>
      <c r="I702" s="1">
        <v>68</v>
      </c>
    </row>
    <row r="703" spans="1:9" x14ac:dyDescent="0.25">
      <c r="A703" s="2" t="s">
        <v>2</v>
      </c>
      <c r="B703" s="1" t="s">
        <v>11</v>
      </c>
      <c r="C703" s="76" t="s">
        <v>54</v>
      </c>
      <c r="D703" s="76">
        <f>COUNTIF($C$2:C703,C703)</f>
        <v>144</v>
      </c>
      <c r="E703" s="1" t="s">
        <v>73</v>
      </c>
      <c r="F703" s="1" t="s">
        <v>14</v>
      </c>
      <c r="G703" s="1">
        <v>39</v>
      </c>
      <c r="H703" s="1">
        <v>44</v>
      </c>
      <c r="I703" s="1">
        <v>36</v>
      </c>
    </row>
    <row r="704" spans="1:9" x14ac:dyDescent="0.25">
      <c r="A704" s="2" t="s">
        <v>2</v>
      </c>
      <c r="B704" s="1" t="s">
        <v>11</v>
      </c>
      <c r="C704" s="76" t="s">
        <v>54</v>
      </c>
      <c r="D704" s="76">
        <f>COUNTIF($C$2:C704,C704)</f>
        <v>145</v>
      </c>
      <c r="E704" s="1" t="s">
        <v>73</v>
      </c>
      <c r="F704" s="1" t="s">
        <v>14</v>
      </c>
      <c r="G704" s="1">
        <v>62</v>
      </c>
      <c r="H704" s="1">
        <v>55</v>
      </c>
      <c r="I704" s="1">
        <v>50</v>
      </c>
    </row>
    <row r="705" spans="1:9" x14ac:dyDescent="0.25">
      <c r="A705" s="2" t="s">
        <v>2</v>
      </c>
      <c r="B705" s="1" t="s">
        <v>11</v>
      </c>
      <c r="C705" s="76" t="s">
        <v>54</v>
      </c>
      <c r="D705" s="76">
        <f>COUNTIF($C$2:C705,C705)</f>
        <v>146</v>
      </c>
      <c r="E705" s="1" t="s">
        <v>73</v>
      </c>
      <c r="F705" s="1" t="s">
        <v>14</v>
      </c>
      <c r="G705" s="1">
        <v>82</v>
      </c>
      <c r="H705" s="1">
        <v>86</v>
      </c>
      <c r="I705" s="1">
        <v>78</v>
      </c>
    </row>
    <row r="706" spans="1:9" x14ac:dyDescent="0.25">
      <c r="A706" s="2" t="s">
        <v>2</v>
      </c>
      <c r="B706" s="1" t="s">
        <v>11</v>
      </c>
      <c r="C706" s="76" t="s">
        <v>54</v>
      </c>
      <c r="D706" s="76">
        <f>COUNTIF($C$2:C706,C706)</f>
        <v>147</v>
      </c>
      <c r="E706" s="1" t="s">
        <v>73</v>
      </c>
      <c r="F706" s="1" t="s">
        <v>14</v>
      </c>
      <c r="G706" s="1">
        <v>82</v>
      </c>
      <c r="H706" s="1">
        <v>73</v>
      </c>
      <c r="I706" s="1">
        <v>74</v>
      </c>
    </row>
    <row r="707" spans="1:9" x14ac:dyDescent="0.25">
      <c r="A707" s="2" t="s">
        <v>2</v>
      </c>
      <c r="B707" s="1" t="s">
        <v>11</v>
      </c>
      <c r="C707" s="76" t="s">
        <v>54</v>
      </c>
      <c r="D707" s="76">
        <f>COUNTIF($C$2:C707,C707)</f>
        <v>148</v>
      </c>
      <c r="E707" s="1" t="s">
        <v>73</v>
      </c>
      <c r="F707" s="1" t="s">
        <v>14</v>
      </c>
      <c r="G707" s="1">
        <v>59</v>
      </c>
      <c r="H707" s="1">
        <v>64</v>
      </c>
      <c r="I707" s="1">
        <v>60</v>
      </c>
    </row>
    <row r="708" spans="1:9" x14ac:dyDescent="0.25">
      <c r="A708" s="2" t="s">
        <v>2</v>
      </c>
      <c r="B708" s="1" t="s">
        <v>11</v>
      </c>
      <c r="C708" s="76" t="s">
        <v>54</v>
      </c>
      <c r="D708" s="76">
        <f>COUNTIF($C$2:C708,C708)</f>
        <v>149</v>
      </c>
      <c r="E708" s="1" t="s">
        <v>73</v>
      </c>
      <c r="F708" s="1" t="s">
        <v>15</v>
      </c>
      <c r="G708" s="1">
        <v>74</v>
      </c>
      <c r="H708" s="1">
        <v>85</v>
      </c>
      <c r="I708" s="1">
        <v>87</v>
      </c>
    </row>
    <row r="709" spans="1:9" x14ac:dyDescent="0.25">
      <c r="A709" s="2" t="s">
        <v>2</v>
      </c>
      <c r="B709" s="1" t="s">
        <v>11</v>
      </c>
      <c r="C709" s="76" t="s">
        <v>54</v>
      </c>
      <c r="D709" s="76">
        <f>COUNTIF($C$2:C709,C709)</f>
        <v>150</v>
      </c>
      <c r="E709" s="1" t="s">
        <v>73</v>
      </c>
      <c r="F709" s="1" t="s">
        <v>15</v>
      </c>
      <c r="G709" s="1">
        <v>46</v>
      </c>
      <c r="H709" s="1">
        <v>46</v>
      </c>
      <c r="I709" s="1">
        <v>48</v>
      </c>
    </row>
    <row r="710" spans="1:9" x14ac:dyDescent="0.25">
      <c r="A710" s="2" t="s">
        <v>2</v>
      </c>
      <c r="B710" s="1" t="s">
        <v>11</v>
      </c>
      <c r="C710" s="76" t="s">
        <v>54</v>
      </c>
      <c r="D710" s="76">
        <f>COUNTIF($C$2:C710,C710)</f>
        <v>151</v>
      </c>
      <c r="E710" s="1" t="s">
        <v>73</v>
      </c>
      <c r="F710" s="1" t="s">
        <v>15</v>
      </c>
      <c r="G710" s="1">
        <v>72</v>
      </c>
      <c r="H710" s="1">
        <v>67</v>
      </c>
      <c r="I710" s="1">
        <v>61</v>
      </c>
    </row>
    <row r="711" spans="1:9" x14ac:dyDescent="0.25">
      <c r="A711" s="2" t="s">
        <v>2</v>
      </c>
      <c r="B711" s="1" t="s">
        <v>11</v>
      </c>
      <c r="C711" s="76" t="s">
        <v>54</v>
      </c>
      <c r="D711" s="76">
        <f>COUNTIF($C$2:C711,C711)</f>
        <v>152</v>
      </c>
      <c r="E711" s="1" t="s">
        <v>73</v>
      </c>
      <c r="F711" s="1" t="s">
        <v>15</v>
      </c>
      <c r="G711" s="1">
        <v>61</v>
      </c>
      <c r="H711" s="1">
        <v>58</v>
      </c>
      <c r="I711" s="1">
        <v>56</v>
      </c>
    </row>
    <row r="712" spans="1:9" x14ac:dyDescent="0.25">
      <c r="A712" s="2" t="s">
        <v>2</v>
      </c>
      <c r="B712" s="1" t="s">
        <v>11</v>
      </c>
      <c r="C712" s="76" t="s">
        <v>54</v>
      </c>
      <c r="D712" s="76">
        <f>COUNTIF($C$2:C712,C712)</f>
        <v>153</v>
      </c>
      <c r="E712" s="1" t="s">
        <v>73</v>
      </c>
      <c r="F712" s="1" t="s">
        <v>15</v>
      </c>
      <c r="G712" s="1">
        <v>87</v>
      </c>
      <c r="H712" s="1">
        <v>82</v>
      </c>
      <c r="I712" s="1">
        <v>79</v>
      </c>
    </row>
    <row r="713" spans="1:9" x14ac:dyDescent="0.25">
      <c r="A713" s="2" t="s">
        <v>2</v>
      </c>
      <c r="B713" s="1" t="s">
        <v>11</v>
      </c>
      <c r="C713" s="76" t="s">
        <v>54</v>
      </c>
      <c r="D713" s="76">
        <f>COUNTIF($C$2:C713,C713)</f>
        <v>154</v>
      </c>
      <c r="E713" s="1" t="s">
        <v>73</v>
      </c>
      <c r="F713" s="1" t="s">
        <v>15</v>
      </c>
      <c r="G713" s="1">
        <v>61</v>
      </c>
      <c r="H713" s="1">
        <v>69</v>
      </c>
      <c r="I713" s="1">
        <v>62</v>
      </c>
    </row>
    <row r="714" spans="1:9" x14ac:dyDescent="0.25">
      <c r="A714" s="2" t="s">
        <v>2</v>
      </c>
      <c r="B714" s="1" t="s">
        <v>11</v>
      </c>
      <c r="C714" s="76" t="s">
        <v>54</v>
      </c>
      <c r="D714" s="76">
        <f>COUNTIF($C$2:C714,C714)</f>
        <v>155</v>
      </c>
      <c r="E714" s="1" t="s">
        <v>73</v>
      </c>
      <c r="F714" s="1" t="s">
        <v>15</v>
      </c>
      <c r="G714" s="1">
        <v>60</v>
      </c>
      <c r="H714" s="1">
        <v>57</v>
      </c>
      <c r="I714" s="1">
        <v>61</v>
      </c>
    </row>
    <row r="715" spans="1:9" x14ac:dyDescent="0.25">
      <c r="A715" s="2" t="s">
        <v>2</v>
      </c>
      <c r="B715" s="1" t="s">
        <v>11</v>
      </c>
      <c r="C715" s="76" t="s">
        <v>54</v>
      </c>
      <c r="D715" s="76">
        <f>COUNTIF($C$2:C715,C715)</f>
        <v>156</v>
      </c>
      <c r="E715" s="1" t="s">
        <v>73</v>
      </c>
      <c r="F715" s="1" t="s">
        <v>15</v>
      </c>
      <c r="G715" s="1">
        <v>59</v>
      </c>
      <c r="H715" s="1">
        <v>68</v>
      </c>
      <c r="I715" s="1">
        <v>66</v>
      </c>
    </row>
    <row r="716" spans="1:9" x14ac:dyDescent="0.25">
      <c r="A716" s="2" t="s">
        <v>2</v>
      </c>
      <c r="B716" s="1" t="s">
        <v>11</v>
      </c>
      <c r="C716" s="76" t="s">
        <v>54</v>
      </c>
      <c r="D716" s="76">
        <f>COUNTIF($C$2:C716,C716)</f>
        <v>157</v>
      </c>
      <c r="E716" s="1" t="s">
        <v>73</v>
      </c>
      <c r="F716" s="1" t="s">
        <v>15</v>
      </c>
      <c r="G716" s="1">
        <v>47</v>
      </c>
      <c r="H716" s="1">
        <v>49</v>
      </c>
      <c r="I716" s="1">
        <v>49</v>
      </c>
    </row>
    <row r="717" spans="1:9" x14ac:dyDescent="0.25">
      <c r="A717" s="2" t="s">
        <v>2</v>
      </c>
      <c r="B717" s="1" t="s">
        <v>11</v>
      </c>
      <c r="C717" s="77" t="s">
        <v>42</v>
      </c>
      <c r="D717" s="77">
        <f>COUNTIF($C$2:C717,C717)</f>
        <v>135</v>
      </c>
      <c r="E717" s="1" t="s">
        <v>7</v>
      </c>
      <c r="F717" s="1" t="s">
        <v>14</v>
      </c>
      <c r="G717" s="1">
        <v>55</v>
      </c>
      <c r="H717" s="1">
        <v>61</v>
      </c>
      <c r="I717" s="1">
        <v>59</v>
      </c>
    </row>
    <row r="718" spans="1:9" x14ac:dyDescent="0.25">
      <c r="A718" s="2" t="s">
        <v>2</v>
      </c>
      <c r="B718" s="1" t="s">
        <v>11</v>
      </c>
      <c r="C718" s="77" t="s">
        <v>42</v>
      </c>
      <c r="D718" s="77">
        <f>COUNTIF($C$2:C718,C718)</f>
        <v>136</v>
      </c>
      <c r="E718" s="1" t="s">
        <v>7</v>
      </c>
      <c r="F718" s="1" t="s">
        <v>14</v>
      </c>
      <c r="G718" s="1">
        <v>43</v>
      </c>
      <c r="H718" s="1">
        <v>51</v>
      </c>
      <c r="I718" s="1">
        <v>38</v>
      </c>
    </row>
    <row r="719" spans="1:9" x14ac:dyDescent="0.25">
      <c r="A719" s="2" t="s">
        <v>2</v>
      </c>
      <c r="B719" s="1" t="s">
        <v>11</v>
      </c>
      <c r="C719" s="77" t="s">
        <v>42</v>
      </c>
      <c r="D719" s="77">
        <f>COUNTIF($C$2:C719,C719)</f>
        <v>137</v>
      </c>
      <c r="E719" s="1" t="s">
        <v>7</v>
      </c>
      <c r="F719" s="1" t="s">
        <v>14</v>
      </c>
      <c r="G719" s="1">
        <v>81</v>
      </c>
      <c r="H719" s="1">
        <v>65</v>
      </c>
      <c r="I719" s="1">
        <v>60</v>
      </c>
    </row>
    <row r="720" spans="1:9" x14ac:dyDescent="0.25">
      <c r="A720" s="2" t="s">
        <v>2</v>
      </c>
      <c r="B720" s="1" t="s">
        <v>11</v>
      </c>
      <c r="C720" s="77" t="s">
        <v>42</v>
      </c>
      <c r="D720" s="77">
        <f>COUNTIF($C$2:C720,C720)</f>
        <v>138</v>
      </c>
      <c r="E720" s="1" t="s">
        <v>7</v>
      </c>
      <c r="F720" s="1" t="s">
        <v>14</v>
      </c>
      <c r="G720" s="1">
        <v>65</v>
      </c>
      <c r="H720" s="1">
        <v>64</v>
      </c>
      <c r="I720" s="1">
        <v>61</v>
      </c>
    </row>
    <row r="721" spans="1:9" x14ac:dyDescent="0.25">
      <c r="A721" s="2" t="s">
        <v>2</v>
      </c>
      <c r="B721" s="1" t="s">
        <v>11</v>
      </c>
      <c r="C721" s="77" t="s">
        <v>42</v>
      </c>
      <c r="D721" s="77">
        <f>COUNTIF($C$2:C721,C721)</f>
        <v>139</v>
      </c>
      <c r="E721" s="1" t="s">
        <v>7</v>
      </c>
      <c r="F721" s="1" t="s">
        <v>14</v>
      </c>
      <c r="G721" s="1">
        <v>50</v>
      </c>
      <c r="H721" s="1">
        <v>40</v>
      </c>
      <c r="I721" s="1">
        <v>44</v>
      </c>
    </row>
    <row r="722" spans="1:9" x14ac:dyDescent="0.25">
      <c r="A722" s="2" t="s">
        <v>2</v>
      </c>
      <c r="B722" s="1" t="s">
        <v>11</v>
      </c>
      <c r="C722" s="77" t="s">
        <v>42</v>
      </c>
      <c r="D722" s="77">
        <f>COUNTIF($C$2:C722,C722)</f>
        <v>140</v>
      </c>
      <c r="E722" s="1" t="s">
        <v>7</v>
      </c>
      <c r="F722" s="1" t="s">
        <v>14</v>
      </c>
      <c r="G722" s="1">
        <v>51</v>
      </c>
      <c r="H722" s="1">
        <v>56</v>
      </c>
      <c r="I722" s="1">
        <v>53</v>
      </c>
    </row>
    <row r="723" spans="1:9" x14ac:dyDescent="0.25">
      <c r="A723" s="2" t="s">
        <v>2</v>
      </c>
      <c r="B723" s="1" t="s">
        <v>11</v>
      </c>
      <c r="C723" s="77" t="s">
        <v>42</v>
      </c>
      <c r="D723" s="77">
        <f>COUNTIF($C$2:C723,C723)</f>
        <v>141</v>
      </c>
      <c r="E723" s="1" t="s">
        <v>7</v>
      </c>
      <c r="F723" s="1" t="s">
        <v>14</v>
      </c>
      <c r="G723" s="1">
        <v>86</v>
      </c>
      <c r="H723" s="1">
        <v>82</v>
      </c>
      <c r="I723" s="1">
        <v>72</v>
      </c>
    </row>
    <row r="724" spans="1:9" x14ac:dyDescent="0.25">
      <c r="A724" s="2" t="s">
        <v>2</v>
      </c>
      <c r="B724" s="1" t="s">
        <v>11</v>
      </c>
      <c r="C724" s="77" t="s">
        <v>42</v>
      </c>
      <c r="D724" s="77">
        <f>COUNTIF($C$2:C724,C724)</f>
        <v>142</v>
      </c>
      <c r="E724" s="1" t="s">
        <v>7</v>
      </c>
      <c r="F724" s="1" t="s">
        <v>14</v>
      </c>
      <c r="G724" s="1">
        <v>72</v>
      </c>
      <c r="H724" s="1">
        <v>76</v>
      </c>
      <c r="I724" s="1">
        <v>64</v>
      </c>
    </row>
    <row r="725" spans="1:9" x14ac:dyDescent="0.25">
      <c r="A725" s="2" t="s">
        <v>2</v>
      </c>
      <c r="B725" s="1" t="s">
        <v>11</v>
      </c>
      <c r="C725" s="77" t="s">
        <v>42</v>
      </c>
      <c r="D725" s="77">
        <f>COUNTIF($C$2:C725,C725)</f>
        <v>143</v>
      </c>
      <c r="E725" s="1" t="s">
        <v>7</v>
      </c>
      <c r="F725" s="1" t="s">
        <v>14</v>
      </c>
      <c r="G725" s="1">
        <v>90</v>
      </c>
      <c r="H725" s="1">
        <v>76</v>
      </c>
      <c r="I725" s="1">
        <v>71</v>
      </c>
    </row>
    <row r="726" spans="1:9" x14ac:dyDescent="0.25">
      <c r="A726" s="2" t="s">
        <v>2</v>
      </c>
      <c r="B726" s="1" t="s">
        <v>11</v>
      </c>
      <c r="C726" s="77" t="s">
        <v>42</v>
      </c>
      <c r="D726" s="77">
        <f>COUNTIF($C$2:C726,C726)</f>
        <v>144</v>
      </c>
      <c r="E726" s="1" t="s">
        <v>7</v>
      </c>
      <c r="F726" s="1" t="s">
        <v>14</v>
      </c>
      <c r="G726" s="1">
        <v>76</v>
      </c>
      <c r="H726" s="1">
        <v>74</v>
      </c>
      <c r="I726" s="1">
        <v>73</v>
      </c>
    </row>
    <row r="727" spans="1:9" x14ac:dyDescent="0.25">
      <c r="A727" s="2" t="s">
        <v>2</v>
      </c>
      <c r="B727" s="1" t="s">
        <v>11</v>
      </c>
      <c r="C727" s="77" t="s">
        <v>42</v>
      </c>
      <c r="D727" s="77">
        <f>COUNTIF($C$2:C727,C727)</f>
        <v>145</v>
      </c>
      <c r="E727" s="1" t="s">
        <v>7</v>
      </c>
      <c r="F727" s="1" t="s">
        <v>14</v>
      </c>
      <c r="G727" s="1">
        <v>66</v>
      </c>
      <c r="H727" s="1">
        <v>68</v>
      </c>
      <c r="I727" s="1">
        <v>62</v>
      </c>
    </row>
    <row r="728" spans="1:9" x14ac:dyDescent="0.25">
      <c r="A728" s="2" t="s">
        <v>2</v>
      </c>
      <c r="B728" s="1" t="s">
        <v>11</v>
      </c>
      <c r="C728" s="77" t="s">
        <v>42</v>
      </c>
      <c r="D728" s="77">
        <f>COUNTIF($C$2:C728,C728)</f>
        <v>146</v>
      </c>
      <c r="E728" s="1" t="s">
        <v>7</v>
      </c>
      <c r="F728" s="1" t="s">
        <v>14</v>
      </c>
      <c r="G728" s="1">
        <v>55</v>
      </c>
      <c r="H728" s="1">
        <v>65</v>
      </c>
      <c r="I728" s="1">
        <v>57</v>
      </c>
    </row>
    <row r="729" spans="1:9" x14ac:dyDescent="0.25">
      <c r="A729" s="2" t="s">
        <v>2</v>
      </c>
      <c r="B729" s="1" t="s">
        <v>11</v>
      </c>
      <c r="C729" s="77" t="s">
        <v>42</v>
      </c>
      <c r="D729" s="77">
        <f>COUNTIF($C$2:C729,C729)</f>
        <v>147</v>
      </c>
      <c r="E729" s="1" t="s">
        <v>7</v>
      </c>
      <c r="F729" s="1" t="s">
        <v>14</v>
      </c>
      <c r="G729" s="1">
        <v>79</v>
      </c>
      <c r="H729" s="1">
        <v>76</v>
      </c>
      <c r="I729" s="1">
        <v>69</v>
      </c>
    </row>
    <row r="730" spans="1:9" x14ac:dyDescent="0.25">
      <c r="A730" s="2" t="s">
        <v>2</v>
      </c>
      <c r="B730" s="1" t="s">
        <v>11</v>
      </c>
      <c r="C730" s="77" t="s">
        <v>42</v>
      </c>
      <c r="D730" s="77">
        <f>COUNTIF($C$2:C730,C730)</f>
        <v>148</v>
      </c>
      <c r="E730" s="1" t="s">
        <v>7</v>
      </c>
      <c r="F730" s="1" t="s">
        <v>14</v>
      </c>
      <c r="G730" s="1">
        <v>80</v>
      </c>
      <c r="H730" s="1">
        <v>79</v>
      </c>
      <c r="I730" s="1">
        <v>74</v>
      </c>
    </row>
    <row r="731" spans="1:9" x14ac:dyDescent="0.25">
      <c r="A731" s="2" t="s">
        <v>2</v>
      </c>
      <c r="B731" s="1" t="s">
        <v>11</v>
      </c>
      <c r="C731" s="77" t="s">
        <v>42</v>
      </c>
      <c r="D731" s="77">
        <f>COUNTIF($C$2:C731,C731)</f>
        <v>149</v>
      </c>
      <c r="E731" s="1" t="s">
        <v>7</v>
      </c>
      <c r="F731" s="1" t="s">
        <v>14</v>
      </c>
      <c r="G731" s="1">
        <v>55</v>
      </c>
      <c r="H731" s="1">
        <v>48</v>
      </c>
      <c r="I731" s="1">
        <v>46</v>
      </c>
    </row>
    <row r="732" spans="1:9" x14ac:dyDescent="0.25">
      <c r="A732" s="2" t="s">
        <v>2</v>
      </c>
      <c r="B732" s="1" t="s">
        <v>11</v>
      </c>
      <c r="C732" s="77" t="s">
        <v>42</v>
      </c>
      <c r="D732" s="77">
        <f>COUNTIF($C$2:C732,C732)</f>
        <v>150</v>
      </c>
      <c r="E732" s="1" t="s">
        <v>7</v>
      </c>
      <c r="F732" s="1" t="s">
        <v>14</v>
      </c>
      <c r="G732" s="1">
        <v>68</v>
      </c>
      <c r="H732" s="1">
        <v>58</v>
      </c>
      <c r="I732" s="1">
        <v>54</v>
      </c>
    </row>
    <row r="733" spans="1:9" x14ac:dyDescent="0.25">
      <c r="A733" s="2" t="s">
        <v>2</v>
      </c>
      <c r="B733" s="1" t="s">
        <v>11</v>
      </c>
      <c r="C733" s="77" t="s">
        <v>42</v>
      </c>
      <c r="D733" s="77">
        <f>COUNTIF($C$2:C733,C733)</f>
        <v>151</v>
      </c>
      <c r="E733" s="1" t="s">
        <v>7</v>
      </c>
      <c r="F733" s="1" t="s">
        <v>14</v>
      </c>
      <c r="G733" s="1">
        <v>76</v>
      </c>
      <c r="H733" s="1">
        <v>65</v>
      </c>
      <c r="I733" s="1">
        <v>58</v>
      </c>
    </row>
    <row r="734" spans="1:9" x14ac:dyDescent="0.25">
      <c r="A734" s="2" t="s">
        <v>2</v>
      </c>
      <c r="B734" s="1" t="s">
        <v>11</v>
      </c>
      <c r="C734" s="77" t="s">
        <v>42</v>
      </c>
      <c r="D734" s="77">
        <f>COUNTIF($C$2:C734,C734)</f>
        <v>152</v>
      </c>
      <c r="E734" s="1" t="s">
        <v>7</v>
      </c>
      <c r="F734" s="1" t="s">
        <v>14</v>
      </c>
      <c r="G734" s="1">
        <v>77</v>
      </c>
      <c r="H734" s="1">
        <v>77</v>
      </c>
      <c r="I734" s="1">
        <v>71</v>
      </c>
    </row>
    <row r="735" spans="1:9" x14ac:dyDescent="0.25">
      <c r="A735" s="2" t="s">
        <v>2</v>
      </c>
      <c r="B735" s="1" t="s">
        <v>11</v>
      </c>
      <c r="C735" s="77" t="s">
        <v>42</v>
      </c>
      <c r="D735" s="77">
        <f>COUNTIF($C$2:C735,C735)</f>
        <v>153</v>
      </c>
      <c r="E735" s="1" t="s">
        <v>7</v>
      </c>
      <c r="F735" s="1" t="s">
        <v>14</v>
      </c>
      <c r="G735" s="1">
        <v>80</v>
      </c>
      <c r="H735" s="1">
        <v>66</v>
      </c>
      <c r="I735" s="1">
        <v>66</v>
      </c>
    </row>
    <row r="736" spans="1:9" x14ac:dyDescent="0.25">
      <c r="A736" s="2" t="s">
        <v>2</v>
      </c>
      <c r="B736" s="1" t="s">
        <v>11</v>
      </c>
      <c r="C736" s="77" t="s">
        <v>42</v>
      </c>
      <c r="D736" s="77">
        <f>COUNTIF($C$2:C736,C736)</f>
        <v>154</v>
      </c>
      <c r="E736" s="1" t="s">
        <v>7</v>
      </c>
      <c r="F736" s="1" t="s">
        <v>15</v>
      </c>
      <c r="G736" s="1">
        <v>80</v>
      </c>
      <c r="H736" s="1">
        <v>76</v>
      </c>
      <c r="I736" s="1">
        <v>68</v>
      </c>
    </row>
    <row r="737" spans="1:9" x14ac:dyDescent="0.25">
      <c r="A737" s="2" t="s">
        <v>2</v>
      </c>
      <c r="B737" s="1" t="s">
        <v>11</v>
      </c>
      <c r="C737" s="77" t="s">
        <v>42</v>
      </c>
      <c r="D737" s="77">
        <f>COUNTIF($C$2:C737,C737)</f>
        <v>155</v>
      </c>
      <c r="E737" s="1" t="s">
        <v>7</v>
      </c>
      <c r="F737" s="1" t="s">
        <v>15</v>
      </c>
      <c r="G737" s="1">
        <v>73</v>
      </c>
      <c r="H737" s="1">
        <v>77</v>
      </c>
      <c r="I737" s="1">
        <v>76</v>
      </c>
    </row>
    <row r="738" spans="1:9" x14ac:dyDescent="0.25">
      <c r="A738" s="2" t="s">
        <v>2</v>
      </c>
      <c r="B738" s="1" t="s">
        <v>11</v>
      </c>
      <c r="C738" s="77" t="s">
        <v>42</v>
      </c>
      <c r="D738" s="77">
        <f>COUNTIF($C$2:C738,C738)</f>
        <v>156</v>
      </c>
      <c r="E738" s="1" t="s">
        <v>7</v>
      </c>
      <c r="F738" s="1" t="s">
        <v>15</v>
      </c>
      <c r="G738" s="1">
        <v>82</v>
      </c>
      <c r="H738" s="1">
        <v>89</v>
      </c>
      <c r="I738" s="1">
        <v>86</v>
      </c>
    </row>
    <row r="739" spans="1:9" x14ac:dyDescent="0.25">
      <c r="A739" s="2" t="s">
        <v>2</v>
      </c>
      <c r="B739" s="1" t="s">
        <v>11</v>
      </c>
      <c r="C739" s="77" t="s">
        <v>42</v>
      </c>
      <c r="D739" s="77">
        <f>COUNTIF($C$2:C739,C739)</f>
        <v>157</v>
      </c>
      <c r="E739" s="1" t="s">
        <v>7</v>
      </c>
      <c r="F739" s="1" t="s">
        <v>15</v>
      </c>
      <c r="G739" s="1">
        <v>95</v>
      </c>
      <c r="H739" s="1">
        <v>85</v>
      </c>
      <c r="I739" s="1">
        <v>80</v>
      </c>
    </row>
    <row r="740" spans="1:9" x14ac:dyDescent="0.25">
      <c r="A740" s="2" t="s">
        <v>2</v>
      </c>
      <c r="B740" s="1" t="s">
        <v>11</v>
      </c>
      <c r="C740" s="77" t="s">
        <v>42</v>
      </c>
      <c r="D740" s="77">
        <f>COUNTIF($C$2:C740,C740)</f>
        <v>158</v>
      </c>
      <c r="E740" s="1" t="s">
        <v>7</v>
      </c>
      <c r="F740" s="1" t="s">
        <v>15</v>
      </c>
      <c r="G740" s="1">
        <v>72</v>
      </c>
      <c r="H740" s="1">
        <v>56</v>
      </c>
      <c r="I740" s="1">
        <v>63</v>
      </c>
    </row>
    <row r="741" spans="1:9" x14ac:dyDescent="0.25">
      <c r="A741" s="2" t="s">
        <v>2</v>
      </c>
      <c r="B741" s="1" t="s">
        <v>11</v>
      </c>
      <c r="C741" s="77" t="s">
        <v>42</v>
      </c>
      <c r="D741" s="77">
        <f>COUNTIF($C$2:C741,C741)</f>
        <v>159</v>
      </c>
      <c r="E741" s="1" t="s">
        <v>7</v>
      </c>
      <c r="F741" s="1" t="s">
        <v>15</v>
      </c>
      <c r="G741" s="1">
        <v>48</v>
      </c>
      <c r="H741" s="1">
        <v>38</v>
      </c>
      <c r="I741" s="1">
        <v>46</v>
      </c>
    </row>
    <row r="742" spans="1:9" x14ac:dyDescent="0.25">
      <c r="A742" s="2" t="s">
        <v>2</v>
      </c>
      <c r="B742" s="1" t="s">
        <v>11</v>
      </c>
      <c r="C742" s="77" t="s">
        <v>42</v>
      </c>
      <c r="D742" s="77">
        <f>COUNTIF($C$2:C742,C742)</f>
        <v>160</v>
      </c>
      <c r="E742" s="1" t="s">
        <v>7</v>
      </c>
      <c r="F742" s="1" t="s">
        <v>15</v>
      </c>
      <c r="G742" s="1">
        <v>71</v>
      </c>
      <c r="H742" s="1">
        <v>66</v>
      </c>
      <c r="I742" s="1">
        <v>70</v>
      </c>
    </row>
    <row r="743" spans="1:9" x14ac:dyDescent="0.25">
      <c r="A743" s="2" t="s">
        <v>2</v>
      </c>
      <c r="B743" s="1" t="s">
        <v>11</v>
      </c>
      <c r="C743" s="77" t="s">
        <v>42</v>
      </c>
      <c r="D743" s="77">
        <f>COUNTIF($C$2:C743,C743)</f>
        <v>161</v>
      </c>
      <c r="E743" s="1" t="s">
        <v>7</v>
      </c>
      <c r="F743" s="1" t="s">
        <v>15</v>
      </c>
      <c r="G743" s="1">
        <v>77</v>
      </c>
      <c r="H743" s="1">
        <v>80</v>
      </c>
      <c r="I743" s="1">
        <v>85</v>
      </c>
    </row>
    <row r="744" spans="1:9" x14ac:dyDescent="0.25">
      <c r="A744" s="2" t="s">
        <v>2</v>
      </c>
      <c r="B744" s="1" t="s">
        <v>11</v>
      </c>
      <c r="C744" s="77" t="s">
        <v>42</v>
      </c>
      <c r="D744" s="77">
        <f>COUNTIF($C$2:C744,C744)</f>
        <v>162</v>
      </c>
      <c r="E744" s="1" t="s">
        <v>73</v>
      </c>
      <c r="F744" s="1" t="s">
        <v>14</v>
      </c>
      <c r="G744" s="1">
        <v>83</v>
      </c>
      <c r="H744" s="1">
        <v>62</v>
      </c>
      <c r="I744" s="1">
        <v>64</v>
      </c>
    </row>
    <row r="745" spans="1:9" x14ac:dyDescent="0.25">
      <c r="A745" s="2" t="s">
        <v>2</v>
      </c>
      <c r="B745" s="1" t="s">
        <v>11</v>
      </c>
      <c r="C745" s="77" t="s">
        <v>42</v>
      </c>
      <c r="D745" s="77">
        <f>COUNTIF($C$2:C745,C745)</f>
        <v>163</v>
      </c>
      <c r="E745" s="1" t="s">
        <v>73</v>
      </c>
      <c r="F745" s="1" t="s">
        <v>14</v>
      </c>
      <c r="G745" s="1">
        <v>56</v>
      </c>
      <c r="H745" s="1">
        <v>57</v>
      </c>
      <c r="I745" s="1">
        <v>62</v>
      </c>
    </row>
    <row r="746" spans="1:9" x14ac:dyDescent="0.25">
      <c r="A746" s="2" t="s">
        <v>2</v>
      </c>
      <c r="B746" s="1" t="s">
        <v>11</v>
      </c>
      <c r="C746" s="77" t="s">
        <v>42</v>
      </c>
      <c r="D746" s="77">
        <f>COUNTIF($C$2:C746,C746)</f>
        <v>164</v>
      </c>
      <c r="E746" s="1" t="s">
        <v>73</v>
      </c>
      <c r="F746" s="1" t="s">
        <v>14</v>
      </c>
      <c r="G746" s="1">
        <v>65</v>
      </c>
      <c r="H746" s="1">
        <v>77</v>
      </c>
      <c r="I746" s="1">
        <v>70</v>
      </c>
    </row>
    <row r="747" spans="1:9" x14ac:dyDescent="0.25">
      <c r="A747" s="2" t="s">
        <v>2</v>
      </c>
      <c r="B747" s="1" t="s">
        <v>11</v>
      </c>
      <c r="C747" s="77" t="s">
        <v>42</v>
      </c>
      <c r="D747" s="77">
        <f>COUNTIF($C$2:C747,C747)</f>
        <v>165</v>
      </c>
      <c r="E747" s="1" t="s">
        <v>73</v>
      </c>
      <c r="F747" s="1" t="s">
        <v>14</v>
      </c>
      <c r="G747" s="1">
        <v>57</v>
      </c>
      <c r="H747" s="1">
        <v>60</v>
      </c>
      <c r="I747" s="1">
        <v>57</v>
      </c>
    </row>
    <row r="748" spans="1:9" x14ac:dyDescent="0.25">
      <c r="A748" s="2" t="s">
        <v>2</v>
      </c>
      <c r="B748" s="1" t="s">
        <v>11</v>
      </c>
      <c r="C748" s="77" t="s">
        <v>42</v>
      </c>
      <c r="D748" s="77">
        <f>COUNTIF($C$2:C748,C748)</f>
        <v>166</v>
      </c>
      <c r="E748" s="1" t="s">
        <v>73</v>
      </c>
      <c r="F748" s="1" t="s">
        <v>14</v>
      </c>
      <c r="G748" s="1">
        <v>76</v>
      </c>
      <c r="H748" s="1">
        <v>72</v>
      </c>
      <c r="I748" s="1">
        <v>65</v>
      </c>
    </row>
    <row r="749" spans="1:9" x14ac:dyDescent="0.25">
      <c r="A749" s="2" t="s">
        <v>2</v>
      </c>
      <c r="B749" s="1" t="s">
        <v>11</v>
      </c>
      <c r="C749" s="77" t="s">
        <v>42</v>
      </c>
      <c r="D749" s="77">
        <f>COUNTIF($C$2:C749,C749)</f>
        <v>167</v>
      </c>
      <c r="E749" s="1" t="s">
        <v>73</v>
      </c>
      <c r="F749" s="1" t="s">
        <v>14</v>
      </c>
      <c r="G749" s="1">
        <v>33</v>
      </c>
      <c r="H749" s="1">
        <v>42</v>
      </c>
      <c r="I749" s="1">
        <v>41</v>
      </c>
    </row>
    <row r="750" spans="1:9" x14ac:dyDescent="0.25">
      <c r="A750" s="2" t="s">
        <v>2</v>
      </c>
      <c r="B750" s="1" t="s">
        <v>11</v>
      </c>
      <c r="C750" s="77" t="s">
        <v>42</v>
      </c>
      <c r="D750" s="77">
        <f>COUNTIF($C$2:C750,C750)</f>
        <v>168</v>
      </c>
      <c r="E750" s="1" t="s">
        <v>73</v>
      </c>
      <c r="F750" s="1" t="s">
        <v>14</v>
      </c>
      <c r="G750" s="1">
        <v>51</v>
      </c>
      <c r="H750" s="1">
        <v>54</v>
      </c>
      <c r="I750" s="1">
        <v>51</v>
      </c>
    </row>
    <row r="751" spans="1:9" x14ac:dyDescent="0.25">
      <c r="A751" s="2" t="s">
        <v>2</v>
      </c>
      <c r="B751" s="1" t="s">
        <v>11</v>
      </c>
      <c r="C751" s="77" t="s">
        <v>42</v>
      </c>
      <c r="D751" s="77">
        <f>COUNTIF($C$2:C751,C751)</f>
        <v>169</v>
      </c>
      <c r="E751" s="1" t="s">
        <v>73</v>
      </c>
      <c r="F751" s="1" t="s">
        <v>14</v>
      </c>
      <c r="G751" s="1">
        <v>60</v>
      </c>
      <c r="H751" s="1">
        <v>67</v>
      </c>
      <c r="I751" s="1">
        <v>61</v>
      </c>
    </row>
    <row r="752" spans="1:9" x14ac:dyDescent="0.25">
      <c r="A752" s="2" t="s">
        <v>2</v>
      </c>
      <c r="B752" s="1" t="s">
        <v>11</v>
      </c>
      <c r="C752" s="77" t="s">
        <v>42</v>
      </c>
      <c r="D752" s="77">
        <f>COUNTIF($C$2:C752,C752)</f>
        <v>170</v>
      </c>
      <c r="E752" s="1" t="s">
        <v>73</v>
      </c>
      <c r="F752" s="1" t="s">
        <v>14</v>
      </c>
      <c r="G752" s="1">
        <v>71</v>
      </c>
      <c r="H752" s="1">
        <v>74</v>
      </c>
      <c r="I752" s="1">
        <v>73</v>
      </c>
    </row>
    <row r="753" spans="1:9" x14ac:dyDescent="0.25">
      <c r="A753" s="2" t="s">
        <v>2</v>
      </c>
      <c r="B753" s="1" t="s">
        <v>11</v>
      </c>
      <c r="C753" s="77" t="s">
        <v>42</v>
      </c>
      <c r="D753" s="77">
        <f>COUNTIF($C$2:C753,C753)</f>
        <v>171</v>
      </c>
      <c r="E753" s="1" t="s">
        <v>73</v>
      </c>
      <c r="F753" s="1" t="s">
        <v>14</v>
      </c>
      <c r="G753" s="1">
        <v>62</v>
      </c>
      <c r="H753" s="1">
        <v>65</v>
      </c>
      <c r="I753" s="1">
        <v>61</v>
      </c>
    </row>
    <row r="754" spans="1:9" x14ac:dyDescent="0.25">
      <c r="A754" s="2" t="s">
        <v>2</v>
      </c>
      <c r="B754" s="1" t="s">
        <v>11</v>
      </c>
      <c r="C754" s="77" t="s">
        <v>42</v>
      </c>
      <c r="D754" s="77">
        <f>COUNTIF($C$2:C754,C754)</f>
        <v>172</v>
      </c>
      <c r="E754" s="1" t="s">
        <v>73</v>
      </c>
      <c r="F754" s="1" t="s">
        <v>15</v>
      </c>
      <c r="G754" s="1">
        <v>70</v>
      </c>
      <c r="H754" s="1">
        <v>75</v>
      </c>
      <c r="I754" s="1">
        <v>74</v>
      </c>
    </row>
    <row r="755" spans="1:9" x14ac:dyDescent="0.25">
      <c r="A755" s="2" t="s">
        <v>2</v>
      </c>
      <c r="B755" s="1" t="s">
        <v>11</v>
      </c>
      <c r="C755" s="77" t="s">
        <v>42</v>
      </c>
      <c r="D755" s="77">
        <f>COUNTIF($C$2:C755,C755)</f>
        <v>173</v>
      </c>
      <c r="E755" s="1" t="s">
        <v>73</v>
      </c>
      <c r="F755" s="1" t="s">
        <v>15</v>
      </c>
      <c r="G755" s="1">
        <v>59</v>
      </c>
      <c r="H755" s="1">
        <v>69</v>
      </c>
      <c r="I755" s="1">
        <v>63</v>
      </c>
    </row>
    <row r="756" spans="1:9" x14ac:dyDescent="0.25">
      <c r="A756" s="2" t="s">
        <v>2</v>
      </c>
      <c r="B756" s="1" t="s">
        <v>11</v>
      </c>
      <c r="C756" s="77" t="s">
        <v>42</v>
      </c>
      <c r="D756" s="77">
        <f>COUNTIF($C$2:C756,C756)</f>
        <v>174</v>
      </c>
      <c r="E756" s="1" t="s">
        <v>73</v>
      </c>
      <c r="F756" s="1" t="s">
        <v>15</v>
      </c>
      <c r="G756" s="1">
        <v>62</v>
      </c>
      <c r="H756" s="1">
        <v>72</v>
      </c>
      <c r="I756" s="1">
        <v>67</v>
      </c>
    </row>
    <row r="757" spans="1:9" x14ac:dyDescent="0.25">
      <c r="A757" s="2" t="s">
        <v>2</v>
      </c>
      <c r="B757" s="1" t="s">
        <v>11</v>
      </c>
      <c r="C757" s="77" t="s">
        <v>42</v>
      </c>
      <c r="D757" s="77">
        <f>COUNTIF($C$2:C757,C757)</f>
        <v>175</v>
      </c>
      <c r="E757" s="1" t="s">
        <v>73</v>
      </c>
      <c r="F757" s="1" t="s">
        <v>15</v>
      </c>
      <c r="G757" s="1">
        <v>70</v>
      </c>
      <c r="H757" s="1">
        <v>66</v>
      </c>
      <c r="I757" s="1">
        <v>68</v>
      </c>
    </row>
    <row r="758" spans="1:9" x14ac:dyDescent="0.25">
      <c r="A758" s="2" t="s">
        <v>2</v>
      </c>
      <c r="B758" s="1" t="s">
        <v>11</v>
      </c>
      <c r="C758" s="77" t="s">
        <v>42</v>
      </c>
      <c r="D758" s="77">
        <f>COUNTIF($C$2:C758,C758)</f>
        <v>176</v>
      </c>
      <c r="E758" s="1" t="s">
        <v>73</v>
      </c>
      <c r="F758" s="1" t="s">
        <v>15</v>
      </c>
      <c r="G758" s="1">
        <v>65</v>
      </c>
      <c r="H758" s="1">
        <v>62</v>
      </c>
      <c r="I758" s="1">
        <v>63</v>
      </c>
    </row>
    <row r="759" spans="1:9" x14ac:dyDescent="0.25">
      <c r="A759" s="2" t="s">
        <v>2</v>
      </c>
      <c r="B759" s="1" t="s">
        <v>11</v>
      </c>
      <c r="C759" s="78" t="s">
        <v>52</v>
      </c>
      <c r="D759" s="78">
        <f>COUNTIF($C$2:C759,C759)</f>
        <v>67</v>
      </c>
      <c r="E759" s="1" t="s">
        <v>7</v>
      </c>
      <c r="F759" s="1" t="s">
        <v>14</v>
      </c>
      <c r="G759" s="1">
        <v>63</v>
      </c>
      <c r="H759" s="1">
        <v>71</v>
      </c>
      <c r="I759" s="1">
        <v>65</v>
      </c>
    </row>
    <row r="760" spans="1:9" x14ac:dyDescent="0.25">
      <c r="A760" s="2" t="s">
        <v>2</v>
      </c>
      <c r="B760" s="1" t="s">
        <v>11</v>
      </c>
      <c r="C760" s="78" t="s">
        <v>52</v>
      </c>
      <c r="D760" s="78">
        <f>COUNTIF($C$2:C760,C760)</f>
        <v>68</v>
      </c>
      <c r="E760" s="1" t="s">
        <v>7</v>
      </c>
      <c r="F760" s="1" t="s">
        <v>14</v>
      </c>
      <c r="G760" s="1">
        <v>64</v>
      </c>
      <c r="H760" s="1">
        <v>62</v>
      </c>
      <c r="I760" s="1">
        <v>58</v>
      </c>
    </row>
    <row r="761" spans="1:9" x14ac:dyDescent="0.25">
      <c r="A761" s="2" t="s">
        <v>2</v>
      </c>
      <c r="B761" s="1" t="s">
        <v>11</v>
      </c>
      <c r="C761" s="78" t="s">
        <v>52</v>
      </c>
      <c r="D761" s="78">
        <f>COUNTIF($C$2:C761,C761)</f>
        <v>69</v>
      </c>
      <c r="E761" s="1" t="s">
        <v>7</v>
      </c>
      <c r="F761" s="1" t="s">
        <v>14</v>
      </c>
      <c r="G761" s="1">
        <v>59</v>
      </c>
      <c r="H761" s="1">
        <v>50</v>
      </c>
      <c r="I761" s="1">
        <v>53</v>
      </c>
    </row>
    <row r="762" spans="1:9" x14ac:dyDescent="0.25">
      <c r="A762" s="2" t="s">
        <v>2</v>
      </c>
      <c r="B762" s="1" t="s">
        <v>11</v>
      </c>
      <c r="C762" s="78" t="s">
        <v>52</v>
      </c>
      <c r="D762" s="78">
        <f>COUNTIF($C$2:C762,C762)</f>
        <v>70</v>
      </c>
      <c r="E762" s="1" t="s">
        <v>7</v>
      </c>
      <c r="F762" s="1" t="s">
        <v>14</v>
      </c>
      <c r="G762" s="1">
        <v>91</v>
      </c>
      <c r="H762" s="1">
        <v>83</v>
      </c>
      <c r="I762" s="1">
        <v>82</v>
      </c>
    </row>
    <row r="763" spans="1:9" x14ac:dyDescent="0.25">
      <c r="A763" s="2" t="s">
        <v>2</v>
      </c>
      <c r="B763" s="1" t="s">
        <v>11</v>
      </c>
      <c r="C763" s="78" t="s">
        <v>52</v>
      </c>
      <c r="D763" s="78">
        <f>COUNTIF($C$2:C763,C763)</f>
        <v>71</v>
      </c>
      <c r="E763" s="1" t="s">
        <v>7</v>
      </c>
      <c r="F763" s="1" t="s">
        <v>14</v>
      </c>
      <c r="G763" s="1">
        <v>77</v>
      </c>
      <c r="H763" s="1">
        <v>65</v>
      </c>
      <c r="I763" s="1">
        <v>69</v>
      </c>
    </row>
    <row r="764" spans="1:9" x14ac:dyDescent="0.25">
      <c r="A764" s="2" t="s">
        <v>2</v>
      </c>
      <c r="B764" s="1" t="s">
        <v>11</v>
      </c>
      <c r="C764" s="78" t="s">
        <v>52</v>
      </c>
      <c r="D764" s="78">
        <f>COUNTIF($C$2:C764,C764)</f>
        <v>72</v>
      </c>
      <c r="E764" s="1" t="s">
        <v>7</v>
      </c>
      <c r="F764" s="1" t="s">
        <v>14</v>
      </c>
      <c r="G764" s="1">
        <v>75</v>
      </c>
      <c r="H764" s="1">
        <v>71</v>
      </c>
      <c r="I764" s="1">
        <v>76</v>
      </c>
    </row>
    <row r="765" spans="1:9" x14ac:dyDescent="0.25">
      <c r="A765" s="2" t="s">
        <v>2</v>
      </c>
      <c r="B765" s="1" t="s">
        <v>11</v>
      </c>
      <c r="C765" s="78" t="s">
        <v>52</v>
      </c>
      <c r="D765" s="78">
        <f>COUNTIF($C$2:C765,C765)</f>
        <v>73</v>
      </c>
      <c r="E765" s="1" t="s">
        <v>7</v>
      </c>
      <c r="F765" s="1" t="s">
        <v>14</v>
      </c>
      <c r="G765" s="1">
        <v>73</v>
      </c>
      <c r="H765" s="1">
        <v>67</v>
      </c>
      <c r="I765" s="1">
        <v>73</v>
      </c>
    </row>
    <row r="766" spans="1:9" x14ac:dyDescent="0.25">
      <c r="A766" s="2" t="s">
        <v>2</v>
      </c>
      <c r="B766" s="1" t="s">
        <v>11</v>
      </c>
      <c r="C766" s="78" t="s">
        <v>52</v>
      </c>
      <c r="D766" s="78">
        <f>COUNTIF($C$2:C766,C766)</f>
        <v>74</v>
      </c>
      <c r="E766" s="1" t="s">
        <v>7</v>
      </c>
      <c r="F766" s="1" t="s">
        <v>14</v>
      </c>
      <c r="G766" s="1">
        <v>70</v>
      </c>
      <c r="H766" s="1">
        <v>49</v>
      </c>
      <c r="I766" s="1">
        <v>53</v>
      </c>
    </row>
    <row r="767" spans="1:9" x14ac:dyDescent="0.25">
      <c r="A767" s="2" t="s">
        <v>2</v>
      </c>
      <c r="B767" s="1" t="s">
        <v>11</v>
      </c>
      <c r="C767" s="78" t="s">
        <v>52</v>
      </c>
      <c r="D767" s="78">
        <f>COUNTIF($C$2:C767,C767)</f>
        <v>75</v>
      </c>
      <c r="E767" s="1" t="s">
        <v>7</v>
      </c>
      <c r="F767" s="1" t="s">
        <v>14</v>
      </c>
      <c r="G767" s="1">
        <v>74</v>
      </c>
      <c r="H767" s="1">
        <v>61</v>
      </c>
      <c r="I767" s="1">
        <v>68</v>
      </c>
    </row>
    <row r="768" spans="1:9" x14ac:dyDescent="0.25">
      <c r="A768" s="2" t="s">
        <v>2</v>
      </c>
      <c r="B768" s="1" t="s">
        <v>11</v>
      </c>
      <c r="C768" s="78" t="s">
        <v>52</v>
      </c>
      <c r="D768" s="78">
        <f>COUNTIF($C$2:C768,C768)</f>
        <v>76</v>
      </c>
      <c r="E768" s="1" t="s">
        <v>7</v>
      </c>
      <c r="F768" s="1" t="s">
        <v>14</v>
      </c>
      <c r="G768" s="1">
        <v>68</v>
      </c>
      <c r="H768" s="1">
        <v>56</v>
      </c>
      <c r="I768" s="1">
        <v>57</v>
      </c>
    </row>
    <row r="769" spans="1:9" x14ac:dyDescent="0.25">
      <c r="A769" s="2" t="s">
        <v>2</v>
      </c>
      <c r="B769" s="1" t="s">
        <v>11</v>
      </c>
      <c r="C769" s="78" t="s">
        <v>52</v>
      </c>
      <c r="D769" s="78">
        <f>COUNTIF($C$2:C769,C769)</f>
        <v>77</v>
      </c>
      <c r="E769" s="1" t="s">
        <v>7</v>
      </c>
      <c r="F769" s="1" t="s">
        <v>15</v>
      </c>
      <c r="G769" s="1">
        <v>75</v>
      </c>
      <c r="H769" s="1">
        <v>62</v>
      </c>
      <c r="I769" s="1">
        <v>65</v>
      </c>
    </row>
    <row r="770" spans="1:9" x14ac:dyDescent="0.25">
      <c r="A770" s="2" t="s">
        <v>2</v>
      </c>
      <c r="B770" s="1" t="s">
        <v>11</v>
      </c>
      <c r="C770" s="78" t="s">
        <v>52</v>
      </c>
      <c r="D770" s="78">
        <f>COUNTIF($C$2:C770,C770)</f>
        <v>78</v>
      </c>
      <c r="E770" s="1" t="s">
        <v>7</v>
      </c>
      <c r="F770" s="1" t="s">
        <v>15</v>
      </c>
      <c r="G770" s="1">
        <v>62</v>
      </c>
      <c r="H770" s="1">
        <v>67</v>
      </c>
      <c r="I770" s="1">
        <v>68</v>
      </c>
    </row>
    <row r="771" spans="1:9" x14ac:dyDescent="0.25">
      <c r="A771" s="2" t="s">
        <v>2</v>
      </c>
      <c r="B771" s="1" t="s">
        <v>11</v>
      </c>
      <c r="C771" s="78" t="s">
        <v>52</v>
      </c>
      <c r="D771" s="78">
        <f>COUNTIF($C$2:C771,C771)</f>
        <v>79</v>
      </c>
      <c r="E771" s="1" t="s">
        <v>7</v>
      </c>
      <c r="F771" s="1" t="s">
        <v>15</v>
      </c>
      <c r="G771" s="1">
        <v>86</v>
      </c>
      <c r="H771" s="1">
        <v>77</v>
      </c>
      <c r="I771" s="1">
        <v>80</v>
      </c>
    </row>
    <row r="772" spans="1:9" x14ac:dyDescent="0.25">
      <c r="A772" s="2" t="s">
        <v>2</v>
      </c>
      <c r="B772" s="1" t="s">
        <v>11</v>
      </c>
      <c r="C772" s="78" t="s">
        <v>52</v>
      </c>
      <c r="D772" s="78">
        <f>COUNTIF($C$2:C772,C772)</f>
        <v>80</v>
      </c>
      <c r="E772" s="1" t="s">
        <v>73</v>
      </c>
      <c r="F772" s="1" t="s">
        <v>14</v>
      </c>
      <c r="G772" s="1">
        <v>51</v>
      </c>
      <c r="H772" s="1">
        <v>53</v>
      </c>
      <c r="I772" s="1">
        <v>51</v>
      </c>
    </row>
    <row r="773" spans="1:9" x14ac:dyDescent="0.25">
      <c r="A773" s="2" t="s">
        <v>2</v>
      </c>
      <c r="B773" s="1" t="s">
        <v>11</v>
      </c>
      <c r="C773" s="78" t="s">
        <v>52</v>
      </c>
      <c r="D773" s="78">
        <f>COUNTIF($C$2:C773,C773)</f>
        <v>81</v>
      </c>
      <c r="E773" s="1" t="s">
        <v>73</v>
      </c>
      <c r="F773" s="1" t="s">
        <v>14</v>
      </c>
      <c r="G773" s="1">
        <v>65</v>
      </c>
      <c r="H773" s="1">
        <v>61</v>
      </c>
      <c r="I773" s="1">
        <v>57</v>
      </c>
    </row>
    <row r="774" spans="1:9" x14ac:dyDescent="0.25">
      <c r="A774" s="2" t="s">
        <v>2</v>
      </c>
      <c r="B774" s="1" t="s">
        <v>11</v>
      </c>
      <c r="C774" s="78" t="s">
        <v>52</v>
      </c>
      <c r="D774" s="78">
        <f>COUNTIF($C$2:C774,C774)</f>
        <v>82</v>
      </c>
      <c r="E774" s="1" t="s">
        <v>73</v>
      </c>
      <c r="F774" s="1" t="s">
        <v>14</v>
      </c>
      <c r="G774" s="1">
        <v>73</v>
      </c>
      <c r="H774" s="1">
        <v>69</v>
      </c>
      <c r="I774" s="1">
        <v>70</v>
      </c>
    </row>
    <row r="775" spans="1:9" x14ac:dyDescent="0.25">
      <c r="A775" s="2" t="s">
        <v>2</v>
      </c>
      <c r="B775" s="1" t="s">
        <v>11</v>
      </c>
      <c r="C775" s="78" t="s">
        <v>52</v>
      </c>
      <c r="D775" s="78">
        <f>COUNTIF($C$2:C775,C775)</f>
        <v>83</v>
      </c>
      <c r="E775" s="1" t="s">
        <v>73</v>
      </c>
      <c r="F775" s="1" t="s">
        <v>14</v>
      </c>
      <c r="G775" s="1">
        <v>47</v>
      </c>
      <c r="H775" s="1">
        <v>53</v>
      </c>
      <c r="I775" s="1">
        <v>42</v>
      </c>
    </row>
    <row r="776" spans="1:9" x14ac:dyDescent="0.25">
      <c r="A776" s="2" t="s">
        <v>2</v>
      </c>
      <c r="B776" s="1" t="s">
        <v>11</v>
      </c>
      <c r="C776" s="78" t="s">
        <v>52</v>
      </c>
      <c r="D776" s="78">
        <f>COUNTIF($C$2:C776,C776)</f>
        <v>84</v>
      </c>
      <c r="E776" s="1" t="s">
        <v>73</v>
      </c>
      <c r="F776" s="1" t="s">
        <v>14</v>
      </c>
      <c r="G776" s="1">
        <v>58</v>
      </c>
      <c r="H776" s="1">
        <v>66</v>
      </c>
      <c r="I776" s="1">
        <v>67</v>
      </c>
    </row>
    <row r="777" spans="1:9" x14ac:dyDescent="0.25">
      <c r="A777" s="2" t="s">
        <v>2</v>
      </c>
      <c r="B777" s="1" t="s">
        <v>11</v>
      </c>
      <c r="C777" s="78" t="s">
        <v>52</v>
      </c>
      <c r="D777" s="78">
        <f>COUNTIF($C$2:C777,C777)</f>
        <v>85</v>
      </c>
      <c r="E777" s="1" t="s">
        <v>73</v>
      </c>
      <c r="F777" s="1" t="s">
        <v>15</v>
      </c>
      <c r="G777" s="1">
        <v>57</v>
      </c>
      <c r="H777" s="1">
        <v>65</v>
      </c>
      <c r="I777" s="1">
        <v>56</v>
      </c>
    </row>
    <row r="778" spans="1:9" x14ac:dyDescent="0.25">
      <c r="A778" s="2" t="s">
        <v>2</v>
      </c>
      <c r="B778" s="1" t="s">
        <v>11</v>
      </c>
      <c r="C778" s="78" t="s">
        <v>52</v>
      </c>
      <c r="D778" s="78">
        <f>COUNTIF($C$2:C778,C778)</f>
        <v>86</v>
      </c>
      <c r="E778" s="1" t="s">
        <v>73</v>
      </c>
      <c r="F778" s="1" t="s">
        <v>15</v>
      </c>
      <c r="G778" s="1">
        <v>72</v>
      </c>
      <c r="H778" s="1">
        <v>70</v>
      </c>
      <c r="I778" s="1">
        <v>70</v>
      </c>
    </row>
    <row r="779" spans="1:9" x14ac:dyDescent="0.25">
      <c r="A779" s="2" t="s">
        <v>2</v>
      </c>
      <c r="B779" s="1" t="s">
        <v>11</v>
      </c>
      <c r="C779" s="79" t="s">
        <v>59</v>
      </c>
      <c r="D779" s="79">
        <f>COUNTIF($C$2:C779,C779)</f>
        <v>46</v>
      </c>
      <c r="E779" s="1" t="s">
        <v>7</v>
      </c>
      <c r="F779" s="1" t="s">
        <v>14</v>
      </c>
      <c r="G779" s="1">
        <v>85</v>
      </c>
      <c r="H779" s="1">
        <v>81</v>
      </c>
      <c r="I779" s="1">
        <v>80</v>
      </c>
    </row>
    <row r="780" spans="1:9" x14ac:dyDescent="0.25">
      <c r="A780" s="2" t="s">
        <v>2</v>
      </c>
      <c r="B780" s="1" t="s">
        <v>11</v>
      </c>
      <c r="C780" s="79" t="s">
        <v>59</v>
      </c>
      <c r="D780" s="79">
        <f>COUNTIF($C$2:C780,C780)</f>
        <v>47</v>
      </c>
      <c r="E780" s="1" t="s">
        <v>7</v>
      </c>
      <c r="F780" s="1" t="s">
        <v>14</v>
      </c>
      <c r="G780" s="1">
        <v>80</v>
      </c>
      <c r="H780" s="1">
        <v>79</v>
      </c>
      <c r="I780" s="1">
        <v>73</v>
      </c>
    </row>
    <row r="781" spans="1:9" x14ac:dyDescent="0.25">
      <c r="A781" s="2" t="s">
        <v>2</v>
      </c>
      <c r="B781" s="1" t="s">
        <v>11</v>
      </c>
      <c r="C781" s="79" t="s">
        <v>59</v>
      </c>
      <c r="D781" s="79">
        <f>COUNTIF($C$2:C781,C781)</f>
        <v>48</v>
      </c>
      <c r="E781" s="1" t="s">
        <v>7</v>
      </c>
      <c r="F781" s="1" t="s">
        <v>14</v>
      </c>
      <c r="G781" s="1">
        <v>68</v>
      </c>
      <c r="H781" s="1">
        <v>56</v>
      </c>
      <c r="I781" s="1">
        <v>57</v>
      </c>
    </row>
    <row r="782" spans="1:9" x14ac:dyDescent="0.25">
      <c r="A782" s="2" t="s">
        <v>2</v>
      </c>
      <c r="B782" s="1" t="s">
        <v>11</v>
      </c>
      <c r="C782" s="79" t="s">
        <v>59</v>
      </c>
      <c r="D782" s="79">
        <f>COUNTIF($C$2:C782,C782)</f>
        <v>49</v>
      </c>
      <c r="E782" s="1" t="s">
        <v>7</v>
      </c>
      <c r="F782" s="1" t="s">
        <v>14</v>
      </c>
      <c r="G782" s="1">
        <v>93</v>
      </c>
      <c r="H782" s="1">
        <v>78</v>
      </c>
      <c r="I782" s="1">
        <v>77</v>
      </c>
    </row>
    <row r="783" spans="1:9" x14ac:dyDescent="0.25">
      <c r="A783" s="2" t="s">
        <v>2</v>
      </c>
      <c r="B783" s="1" t="s">
        <v>11</v>
      </c>
      <c r="C783" s="79" t="s">
        <v>59</v>
      </c>
      <c r="D783" s="79">
        <f>COUNTIF($C$2:C783,C783)</f>
        <v>50</v>
      </c>
      <c r="E783" s="1" t="s">
        <v>7</v>
      </c>
      <c r="F783" s="1" t="s">
        <v>14</v>
      </c>
      <c r="G783" s="1">
        <v>81</v>
      </c>
      <c r="H783" s="1">
        <v>80</v>
      </c>
      <c r="I783" s="1">
        <v>73</v>
      </c>
    </row>
    <row r="784" spans="1:9" x14ac:dyDescent="0.25">
      <c r="A784" s="2" t="s">
        <v>2</v>
      </c>
      <c r="B784" s="1" t="s">
        <v>11</v>
      </c>
      <c r="C784" s="79" t="s">
        <v>59</v>
      </c>
      <c r="D784" s="79">
        <f>COUNTIF($C$2:C784,C784)</f>
        <v>51</v>
      </c>
      <c r="E784" s="1" t="s">
        <v>7</v>
      </c>
      <c r="F784" s="1" t="s">
        <v>15</v>
      </c>
      <c r="G784" s="1">
        <v>79</v>
      </c>
      <c r="H784" s="1">
        <v>72</v>
      </c>
      <c r="I784" s="1">
        <v>74</v>
      </c>
    </row>
    <row r="785" spans="1:9" x14ac:dyDescent="0.25">
      <c r="A785" s="2" t="s">
        <v>2</v>
      </c>
      <c r="B785" s="1" t="s">
        <v>11</v>
      </c>
      <c r="C785" s="79" t="s">
        <v>59</v>
      </c>
      <c r="D785" s="79">
        <f>COUNTIF($C$2:C785,C785)</f>
        <v>52</v>
      </c>
      <c r="E785" s="1" t="s">
        <v>73</v>
      </c>
      <c r="F785" s="1" t="s">
        <v>14</v>
      </c>
      <c r="G785" s="1">
        <v>55</v>
      </c>
      <c r="H785" s="1">
        <v>54</v>
      </c>
      <c r="I785" s="1">
        <v>52</v>
      </c>
    </row>
    <row r="786" spans="1:9" x14ac:dyDescent="0.25">
      <c r="A786" s="2" t="s">
        <v>2</v>
      </c>
      <c r="B786" s="1" t="s">
        <v>11</v>
      </c>
      <c r="C786" s="79" t="s">
        <v>59</v>
      </c>
      <c r="D786" s="79">
        <f>COUNTIF($C$2:C786,C786)</f>
        <v>53</v>
      </c>
      <c r="E786" s="1" t="s">
        <v>73</v>
      </c>
      <c r="F786" s="1" t="s">
        <v>14</v>
      </c>
      <c r="G786" s="1">
        <v>82</v>
      </c>
      <c r="H786" s="1">
        <v>69</v>
      </c>
      <c r="I786" s="1">
        <v>76</v>
      </c>
    </row>
    <row r="787" spans="1:9" x14ac:dyDescent="0.25">
      <c r="A787" s="2" t="s">
        <v>2</v>
      </c>
      <c r="B787" s="1" t="s">
        <v>11</v>
      </c>
      <c r="C787" s="79" t="s">
        <v>59</v>
      </c>
      <c r="D787" s="79">
        <f>COUNTIF($C$2:C787,C787)</f>
        <v>54</v>
      </c>
      <c r="E787" s="1" t="s">
        <v>73</v>
      </c>
      <c r="F787" s="1" t="s">
        <v>14</v>
      </c>
      <c r="G787" s="1">
        <v>57</v>
      </c>
      <c r="H787" s="1">
        <v>54</v>
      </c>
      <c r="I787" s="1">
        <v>48</v>
      </c>
    </row>
    <row r="788" spans="1:9" x14ac:dyDescent="0.25">
      <c r="A788" s="2" t="s">
        <v>2</v>
      </c>
      <c r="B788" s="1" t="s">
        <v>11</v>
      </c>
      <c r="C788" s="79" t="s">
        <v>59</v>
      </c>
      <c r="D788" s="79">
        <f>COUNTIF($C$2:C788,C788)</f>
        <v>55</v>
      </c>
      <c r="E788" s="1" t="s">
        <v>73</v>
      </c>
      <c r="F788" s="1" t="s">
        <v>14</v>
      </c>
      <c r="G788" s="1">
        <v>45</v>
      </c>
      <c r="H788" s="1">
        <v>53</v>
      </c>
      <c r="I788" s="1">
        <v>45</v>
      </c>
    </row>
    <row r="789" spans="1:9" x14ac:dyDescent="0.25">
      <c r="A789" s="2" t="s">
        <v>2</v>
      </c>
      <c r="B789" s="1" t="s">
        <v>11</v>
      </c>
      <c r="C789" s="79" t="s">
        <v>59</v>
      </c>
      <c r="D789" s="79">
        <f>COUNTIF($C$2:C789,C789)</f>
        <v>56</v>
      </c>
      <c r="E789" s="1" t="s">
        <v>73</v>
      </c>
      <c r="F789" s="1" t="s">
        <v>15</v>
      </c>
      <c r="G789" s="1">
        <v>57</v>
      </c>
      <c r="H789" s="1">
        <v>64</v>
      </c>
      <c r="I789" s="1">
        <v>66</v>
      </c>
    </row>
    <row r="790" spans="1:9" x14ac:dyDescent="0.25">
      <c r="A790" s="2" t="s">
        <v>2</v>
      </c>
      <c r="B790" s="1" t="s">
        <v>12</v>
      </c>
      <c r="C790" s="74" t="s">
        <v>53</v>
      </c>
      <c r="D790" s="74">
        <f>COUNTIF($C$2:C790,C790)</f>
        <v>136</v>
      </c>
      <c r="E790" s="1" t="s">
        <v>7</v>
      </c>
      <c r="F790" s="1" t="s">
        <v>14</v>
      </c>
      <c r="G790" s="1">
        <v>70</v>
      </c>
      <c r="H790" s="1">
        <v>66</v>
      </c>
      <c r="I790" s="1">
        <v>59</v>
      </c>
    </row>
    <row r="791" spans="1:9" x14ac:dyDescent="0.25">
      <c r="A791" s="2" t="s">
        <v>2</v>
      </c>
      <c r="B791" s="1" t="s">
        <v>12</v>
      </c>
      <c r="C791" s="74" t="s">
        <v>53</v>
      </c>
      <c r="D791" s="74">
        <f>COUNTIF($C$2:C791,C791)</f>
        <v>137</v>
      </c>
      <c r="E791" s="1" t="s">
        <v>7</v>
      </c>
      <c r="F791" s="1" t="s">
        <v>14</v>
      </c>
      <c r="G791" s="1">
        <v>90</v>
      </c>
      <c r="H791" s="1">
        <v>93</v>
      </c>
      <c r="I791" s="1">
        <v>84</v>
      </c>
    </row>
    <row r="792" spans="1:9" x14ac:dyDescent="0.25">
      <c r="A792" s="2" t="s">
        <v>2</v>
      </c>
      <c r="B792" s="1" t="s">
        <v>12</v>
      </c>
      <c r="C792" s="74" t="s">
        <v>53</v>
      </c>
      <c r="D792" s="74">
        <f>COUNTIF($C$2:C792,C792)</f>
        <v>138</v>
      </c>
      <c r="E792" s="1" t="s">
        <v>7</v>
      </c>
      <c r="F792" s="1" t="s">
        <v>14</v>
      </c>
      <c r="G792" s="1">
        <v>82</v>
      </c>
      <c r="H792" s="1">
        <v>77</v>
      </c>
      <c r="I792" s="1">
        <v>72</v>
      </c>
    </row>
    <row r="793" spans="1:9" x14ac:dyDescent="0.25">
      <c r="A793" s="2" t="s">
        <v>2</v>
      </c>
      <c r="B793" s="1" t="s">
        <v>12</v>
      </c>
      <c r="C793" s="74" t="s">
        <v>53</v>
      </c>
      <c r="D793" s="74">
        <f>COUNTIF($C$2:C793,C793)</f>
        <v>139</v>
      </c>
      <c r="E793" s="1" t="s">
        <v>7</v>
      </c>
      <c r="F793" s="1" t="s">
        <v>14</v>
      </c>
      <c r="G793" s="1">
        <v>69</v>
      </c>
      <c r="H793" s="1">
        <v>56</v>
      </c>
      <c r="I793" s="1">
        <v>59</v>
      </c>
    </row>
    <row r="794" spans="1:9" x14ac:dyDescent="0.25">
      <c r="A794" s="2" t="s">
        <v>2</v>
      </c>
      <c r="B794" s="1" t="s">
        <v>12</v>
      </c>
      <c r="C794" s="74" t="s">
        <v>53</v>
      </c>
      <c r="D794" s="74">
        <f>COUNTIF($C$2:C794,C794)</f>
        <v>140</v>
      </c>
      <c r="E794" s="1" t="s">
        <v>7</v>
      </c>
      <c r="F794" s="1" t="s">
        <v>14</v>
      </c>
      <c r="G794" s="1">
        <v>73</v>
      </c>
      <c r="H794" s="1">
        <v>67</v>
      </c>
      <c r="I794" s="1">
        <v>64</v>
      </c>
    </row>
    <row r="795" spans="1:9" x14ac:dyDescent="0.25">
      <c r="A795" s="2" t="s">
        <v>2</v>
      </c>
      <c r="B795" s="1" t="s">
        <v>12</v>
      </c>
      <c r="C795" s="74" t="s">
        <v>53</v>
      </c>
      <c r="D795" s="74">
        <f>COUNTIF($C$2:C795,C795)</f>
        <v>141</v>
      </c>
      <c r="E795" s="1" t="s">
        <v>7</v>
      </c>
      <c r="F795" s="1" t="s">
        <v>14</v>
      </c>
      <c r="G795" s="1">
        <v>55</v>
      </c>
      <c r="H795" s="1">
        <v>50</v>
      </c>
      <c r="I795" s="1">
        <v>47</v>
      </c>
    </row>
    <row r="796" spans="1:9" x14ac:dyDescent="0.25">
      <c r="A796" s="2" t="s">
        <v>2</v>
      </c>
      <c r="B796" s="1" t="s">
        <v>12</v>
      </c>
      <c r="C796" s="74" t="s">
        <v>53</v>
      </c>
      <c r="D796" s="74">
        <f>COUNTIF($C$2:C796,C796)</f>
        <v>142</v>
      </c>
      <c r="E796" s="1" t="s">
        <v>7</v>
      </c>
      <c r="F796" s="1" t="s">
        <v>14</v>
      </c>
      <c r="G796" s="1">
        <v>59</v>
      </c>
      <c r="H796" s="1">
        <v>48</v>
      </c>
      <c r="I796" s="1">
        <v>48</v>
      </c>
    </row>
    <row r="797" spans="1:9" x14ac:dyDescent="0.25">
      <c r="A797" s="2" t="s">
        <v>2</v>
      </c>
      <c r="B797" s="1" t="s">
        <v>12</v>
      </c>
      <c r="C797" s="74" t="s">
        <v>53</v>
      </c>
      <c r="D797" s="74">
        <f>COUNTIF($C$2:C797,C797)</f>
        <v>143</v>
      </c>
      <c r="E797" s="1" t="s">
        <v>7</v>
      </c>
      <c r="F797" s="1" t="s">
        <v>14</v>
      </c>
      <c r="G797" s="1">
        <v>80</v>
      </c>
      <c r="H797" s="1">
        <v>80</v>
      </c>
      <c r="I797" s="1">
        <v>79</v>
      </c>
    </row>
    <row r="798" spans="1:9" x14ac:dyDescent="0.25">
      <c r="A798" s="2" t="s">
        <v>2</v>
      </c>
      <c r="B798" s="1" t="s">
        <v>12</v>
      </c>
      <c r="C798" s="74" t="s">
        <v>53</v>
      </c>
      <c r="D798" s="74">
        <f>COUNTIF($C$2:C798,C798)</f>
        <v>144</v>
      </c>
      <c r="E798" s="1" t="s">
        <v>7</v>
      </c>
      <c r="F798" s="1" t="s">
        <v>14</v>
      </c>
      <c r="G798" s="1">
        <v>82</v>
      </c>
      <c r="H798" s="1">
        <v>70</v>
      </c>
      <c r="I798" s="1">
        <v>67</v>
      </c>
    </row>
    <row r="799" spans="1:9" x14ac:dyDescent="0.25">
      <c r="A799" s="2" t="s">
        <v>2</v>
      </c>
      <c r="B799" s="1" t="s">
        <v>12</v>
      </c>
      <c r="C799" s="74" t="s">
        <v>53</v>
      </c>
      <c r="D799" s="74">
        <f>COUNTIF($C$2:C799,C799)</f>
        <v>145</v>
      </c>
      <c r="E799" s="1" t="s">
        <v>7</v>
      </c>
      <c r="F799" s="1" t="s">
        <v>14</v>
      </c>
      <c r="G799" s="1">
        <v>90</v>
      </c>
      <c r="H799" s="1">
        <v>72</v>
      </c>
      <c r="I799" s="1">
        <v>79</v>
      </c>
    </row>
    <row r="800" spans="1:9" x14ac:dyDescent="0.25">
      <c r="A800" s="2" t="s">
        <v>2</v>
      </c>
      <c r="B800" s="1" t="s">
        <v>12</v>
      </c>
      <c r="C800" s="74" t="s">
        <v>53</v>
      </c>
      <c r="D800" s="74">
        <f>COUNTIF($C$2:C800,C800)</f>
        <v>146</v>
      </c>
      <c r="E800" s="1" t="s">
        <v>7</v>
      </c>
      <c r="F800" s="1" t="s">
        <v>14</v>
      </c>
      <c r="G800" s="1">
        <v>67</v>
      </c>
      <c r="H800" s="1">
        <v>59</v>
      </c>
      <c r="I800" s="1">
        <v>59</v>
      </c>
    </row>
    <row r="801" spans="1:9" x14ac:dyDescent="0.25">
      <c r="A801" s="2" t="s">
        <v>2</v>
      </c>
      <c r="B801" s="1" t="s">
        <v>12</v>
      </c>
      <c r="C801" s="74" t="s">
        <v>53</v>
      </c>
      <c r="D801" s="74">
        <f>COUNTIF($C$2:C801,C801)</f>
        <v>147</v>
      </c>
      <c r="E801" s="1" t="s">
        <v>7</v>
      </c>
      <c r="F801" s="1" t="s">
        <v>14</v>
      </c>
      <c r="G801" s="1">
        <v>68</v>
      </c>
      <c r="H801" s="1">
        <v>53</v>
      </c>
      <c r="I801" s="1">
        <v>53</v>
      </c>
    </row>
    <row r="802" spans="1:9" x14ac:dyDescent="0.25">
      <c r="A802" s="2" t="s">
        <v>2</v>
      </c>
      <c r="B802" s="1" t="s">
        <v>12</v>
      </c>
      <c r="C802" s="74" t="s">
        <v>53</v>
      </c>
      <c r="D802" s="74">
        <f>COUNTIF($C$2:C802,C802)</f>
        <v>148</v>
      </c>
      <c r="E802" s="1" t="s">
        <v>7</v>
      </c>
      <c r="F802" s="1" t="s">
        <v>14</v>
      </c>
      <c r="G802" s="1">
        <v>51</v>
      </c>
      <c r="H802" s="1">
        <v>53</v>
      </c>
      <c r="I802" s="1">
        <v>45</v>
      </c>
    </row>
    <row r="803" spans="1:9" x14ac:dyDescent="0.25">
      <c r="A803" s="2" t="s">
        <v>2</v>
      </c>
      <c r="B803" s="1" t="s">
        <v>12</v>
      </c>
      <c r="C803" s="74" t="s">
        <v>53</v>
      </c>
      <c r="D803" s="74">
        <f>COUNTIF($C$2:C803,C803)</f>
        <v>149</v>
      </c>
      <c r="E803" s="1" t="s">
        <v>7</v>
      </c>
      <c r="F803" s="1" t="s">
        <v>14</v>
      </c>
      <c r="G803" s="1">
        <v>83</v>
      </c>
      <c r="H803" s="1">
        <v>74</v>
      </c>
      <c r="I803" s="1">
        <v>80</v>
      </c>
    </row>
    <row r="804" spans="1:9" x14ac:dyDescent="0.25">
      <c r="A804" s="2" t="s">
        <v>2</v>
      </c>
      <c r="B804" s="1" t="s">
        <v>12</v>
      </c>
      <c r="C804" s="74" t="s">
        <v>53</v>
      </c>
      <c r="D804" s="74">
        <f>COUNTIF($C$2:C804,C804)</f>
        <v>150</v>
      </c>
      <c r="E804" s="1" t="s">
        <v>7</v>
      </c>
      <c r="F804" s="1" t="s">
        <v>15</v>
      </c>
      <c r="G804" s="1">
        <v>80</v>
      </c>
      <c r="H804" s="1">
        <v>77</v>
      </c>
      <c r="I804" s="1">
        <v>80</v>
      </c>
    </row>
    <row r="805" spans="1:9" x14ac:dyDescent="0.25">
      <c r="A805" s="2" t="s">
        <v>2</v>
      </c>
      <c r="B805" s="1" t="s">
        <v>12</v>
      </c>
      <c r="C805" s="74" t="s">
        <v>53</v>
      </c>
      <c r="D805" s="74">
        <f>COUNTIF($C$2:C805,C805)</f>
        <v>151</v>
      </c>
      <c r="E805" s="1" t="s">
        <v>7</v>
      </c>
      <c r="F805" s="1" t="s">
        <v>15</v>
      </c>
      <c r="G805" s="1">
        <v>82</v>
      </c>
      <c r="H805" s="1">
        <v>74</v>
      </c>
      <c r="I805" s="1">
        <v>75</v>
      </c>
    </row>
    <row r="806" spans="1:9" x14ac:dyDescent="0.25">
      <c r="A806" s="2" t="s">
        <v>2</v>
      </c>
      <c r="B806" s="1" t="s">
        <v>12</v>
      </c>
      <c r="C806" s="74" t="s">
        <v>53</v>
      </c>
      <c r="D806" s="74">
        <f>COUNTIF($C$2:C806,C806)</f>
        <v>152</v>
      </c>
      <c r="E806" s="1" t="s">
        <v>7</v>
      </c>
      <c r="F806" s="1" t="s">
        <v>15</v>
      </c>
      <c r="G806" s="1">
        <v>60</v>
      </c>
      <c r="H806" s="1">
        <v>57</v>
      </c>
      <c r="I806" s="1">
        <v>60</v>
      </c>
    </row>
    <row r="807" spans="1:9" x14ac:dyDescent="0.25">
      <c r="A807" s="2" t="s">
        <v>2</v>
      </c>
      <c r="B807" s="1" t="s">
        <v>12</v>
      </c>
      <c r="C807" s="74" t="s">
        <v>53</v>
      </c>
      <c r="D807" s="74">
        <f>COUNTIF($C$2:C807,C807)</f>
        <v>153</v>
      </c>
      <c r="E807" s="1" t="s">
        <v>7</v>
      </c>
      <c r="F807" s="1" t="s">
        <v>15</v>
      </c>
      <c r="G807" s="1">
        <v>56</v>
      </c>
      <c r="H807" s="1">
        <v>48</v>
      </c>
      <c r="I807" s="1">
        <v>54</v>
      </c>
    </row>
    <row r="808" spans="1:9" x14ac:dyDescent="0.25">
      <c r="A808" s="2" t="s">
        <v>2</v>
      </c>
      <c r="B808" s="1" t="s">
        <v>12</v>
      </c>
      <c r="C808" s="74" t="s">
        <v>53</v>
      </c>
      <c r="D808" s="74">
        <f>COUNTIF($C$2:C808,C808)</f>
        <v>154</v>
      </c>
      <c r="E808" s="1" t="s">
        <v>7</v>
      </c>
      <c r="F808" s="1" t="s">
        <v>15</v>
      </c>
      <c r="G808" s="1">
        <v>100</v>
      </c>
      <c r="H808" s="1">
        <v>84</v>
      </c>
      <c r="I808" s="1">
        <v>87</v>
      </c>
    </row>
    <row r="809" spans="1:9" x14ac:dyDescent="0.25">
      <c r="A809" s="2" t="s">
        <v>2</v>
      </c>
      <c r="B809" s="1" t="s">
        <v>12</v>
      </c>
      <c r="C809" s="74" t="s">
        <v>53</v>
      </c>
      <c r="D809" s="74">
        <f>COUNTIF($C$2:C809,C809)</f>
        <v>155</v>
      </c>
      <c r="E809" s="1" t="s">
        <v>7</v>
      </c>
      <c r="F809" s="1" t="s">
        <v>15</v>
      </c>
      <c r="G809" s="1">
        <v>70</v>
      </c>
      <c r="H809" s="1">
        <v>66</v>
      </c>
      <c r="I809" s="1">
        <v>72</v>
      </c>
    </row>
    <row r="810" spans="1:9" x14ac:dyDescent="0.25">
      <c r="A810" s="2" t="s">
        <v>2</v>
      </c>
      <c r="B810" s="1" t="s">
        <v>12</v>
      </c>
      <c r="C810" s="74" t="s">
        <v>53</v>
      </c>
      <c r="D810" s="74">
        <f>COUNTIF($C$2:C810,C810)</f>
        <v>156</v>
      </c>
      <c r="E810" s="1" t="s">
        <v>7</v>
      </c>
      <c r="F810" s="1" t="s">
        <v>15</v>
      </c>
      <c r="G810" s="1">
        <v>74</v>
      </c>
      <c r="H810" s="1">
        <v>78</v>
      </c>
      <c r="I810" s="1">
        <v>78</v>
      </c>
    </row>
    <row r="811" spans="1:9" x14ac:dyDescent="0.25">
      <c r="A811" s="2" t="s">
        <v>2</v>
      </c>
      <c r="B811" s="1" t="s">
        <v>12</v>
      </c>
      <c r="C811" s="74" t="s">
        <v>53</v>
      </c>
      <c r="D811" s="74">
        <f>COUNTIF($C$2:C811,C811)</f>
        <v>157</v>
      </c>
      <c r="E811" s="1" t="s">
        <v>7</v>
      </c>
      <c r="F811" s="1" t="s">
        <v>15</v>
      </c>
      <c r="G811" s="1">
        <v>76</v>
      </c>
      <c r="H811" s="1">
        <v>78</v>
      </c>
      <c r="I811" s="1">
        <v>79</v>
      </c>
    </row>
    <row r="812" spans="1:9" x14ac:dyDescent="0.25">
      <c r="A812" s="2" t="s">
        <v>2</v>
      </c>
      <c r="B812" s="1" t="s">
        <v>12</v>
      </c>
      <c r="C812" s="74" t="s">
        <v>53</v>
      </c>
      <c r="D812" s="74">
        <f>COUNTIF($C$2:C812,C812)</f>
        <v>158</v>
      </c>
      <c r="E812" s="1" t="s">
        <v>73</v>
      </c>
      <c r="F812" s="1" t="s">
        <v>14</v>
      </c>
      <c r="G812" s="1">
        <v>49</v>
      </c>
      <c r="H812" s="1">
        <v>49</v>
      </c>
      <c r="I812" s="1">
        <v>43</v>
      </c>
    </row>
    <row r="813" spans="1:9" x14ac:dyDescent="0.25">
      <c r="A813" s="2" t="s">
        <v>2</v>
      </c>
      <c r="B813" s="1" t="s">
        <v>12</v>
      </c>
      <c r="C813" s="74" t="s">
        <v>53</v>
      </c>
      <c r="D813" s="74">
        <f>COUNTIF($C$2:C813,C813)</f>
        <v>159</v>
      </c>
      <c r="E813" s="1" t="s">
        <v>73</v>
      </c>
      <c r="F813" s="1" t="s">
        <v>14</v>
      </c>
      <c r="G813" s="1">
        <v>67</v>
      </c>
      <c r="H813" s="1">
        <v>63</v>
      </c>
      <c r="I813" s="1">
        <v>63</v>
      </c>
    </row>
    <row r="814" spans="1:9" x14ac:dyDescent="0.25">
      <c r="A814" s="2" t="s">
        <v>2</v>
      </c>
      <c r="B814" s="1" t="s">
        <v>12</v>
      </c>
      <c r="C814" s="74" t="s">
        <v>53</v>
      </c>
      <c r="D814" s="74">
        <f>COUNTIF($C$2:C814,C814)</f>
        <v>160</v>
      </c>
      <c r="E814" s="1" t="s">
        <v>73</v>
      </c>
      <c r="F814" s="1" t="s">
        <v>15</v>
      </c>
      <c r="G814" s="1">
        <v>47</v>
      </c>
      <c r="H814" s="1">
        <v>46</v>
      </c>
      <c r="I814" s="1">
        <v>51</v>
      </c>
    </row>
    <row r="815" spans="1:9" x14ac:dyDescent="0.25">
      <c r="A815" s="2" t="s">
        <v>2</v>
      </c>
      <c r="B815" s="1" t="s">
        <v>12</v>
      </c>
      <c r="C815" s="74" t="s">
        <v>53</v>
      </c>
      <c r="D815" s="74">
        <f>COUNTIF($C$2:C815,C815)</f>
        <v>161</v>
      </c>
      <c r="E815" s="1" t="s">
        <v>73</v>
      </c>
      <c r="F815" s="1" t="s">
        <v>15</v>
      </c>
      <c r="G815" s="1">
        <v>58</v>
      </c>
      <c r="H815" s="1">
        <v>57</v>
      </c>
      <c r="I815" s="1">
        <v>53</v>
      </c>
    </row>
    <row r="816" spans="1:9" x14ac:dyDescent="0.25">
      <c r="A816" s="2" t="s">
        <v>2</v>
      </c>
      <c r="B816" s="1" t="s">
        <v>12</v>
      </c>
      <c r="C816" s="74" t="s">
        <v>53</v>
      </c>
      <c r="D816" s="74">
        <f>COUNTIF($C$2:C816,C816)</f>
        <v>162</v>
      </c>
      <c r="E816" s="1" t="s">
        <v>73</v>
      </c>
      <c r="F816" s="1" t="s">
        <v>15</v>
      </c>
      <c r="G816" s="1">
        <v>40</v>
      </c>
      <c r="H816" s="1">
        <v>50</v>
      </c>
      <c r="I816" s="1">
        <v>47</v>
      </c>
    </row>
    <row r="817" spans="1:9" x14ac:dyDescent="0.25">
      <c r="A817" s="2" t="s">
        <v>2</v>
      </c>
      <c r="B817" s="1" t="s">
        <v>12</v>
      </c>
      <c r="C817" s="74" t="s">
        <v>53</v>
      </c>
      <c r="D817" s="74">
        <f>COUNTIF($C$2:C817,C817)</f>
        <v>163</v>
      </c>
      <c r="E817" s="1" t="s">
        <v>73</v>
      </c>
      <c r="F817" s="1" t="s">
        <v>15</v>
      </c>
      <c r="G817" s="1">
        <v>69</v>
      </c>
      <c r="H817" s="1">
        <v>70</v>
      </c>
      <c r="I817" s="1">
        <v>75</v>
      </c>
    </row>
    <row r="818" spans="1:9" x14ac:dyDescent="0.25">
      <c r="A818" s="2" t="s">
        <v>2</v>
      </c>
      <c r="B818" s="1" t="s">
        <v>12</v>
      </c>
      <c r="C818" s="74" t="s">
        <v>53</v>
      </c>
      <c r="D818" s="74">
        <f>COUNTIF($C$2:C818,C818)</f>
        <v>164</v>
      </c>
      <c r="E818" s="1" t="s">
        <v>73</v>
      </c>
      <c r="F818" s="1" t="s">
        <v>15</v>
      </c>
      <c r="G818" s="1">
        <v>46</v>
      </c>
      <c r="H818" s="1">
        <v>53</v>
      </c>
      <c r="I818" s="1">
        <v>54</v>
      </c>
    </row>
    <row r="819" spans="1:9" x14ac:dyDescent="0.25">
      <c r="A819" s="2" t="s">
        <v>2</v>
      </c>
      <c r="B819" s="1" t="s">
        <v>12</v>
      </c>
      <c r="C819" s="74" t="s">
        <v>53</v>
      </c>
      <c r="D819" s="74">
        <f>COUNTIF($C$2:C819,C819)</f>
        <v>165</v>
      </c>
      <c r="E819" s="1" t="s">
        <v>73</v>
      </c>
      <c r="F819" s="1" t="s">
        <v>15</v>
      </c>
      <c r="G819" s="1">
        <v>35</v>
      </c>
      <c r="H819" s="1">
        <v>56</v>
      </c>
      <c r="I819" s="1">
        <v>54</v>
      </c>
    </row>
    <row r="820" spans="1:9" x14ac:dyDescent="0.25">
      <c r="A820" s="2" t="s">
        <v>2</v>
      </c>
      <c r="B820" s="1" t="s">
        <v>12</v>
      </c>
      <c r="C820" s="75" t="s">
        <v>6</v>
      </c>
      <c r="D820" s="75">
        <f>COUNTIF($C$2:C820,C820)</f>
        <v>179</v>
      </c>
      <c r="E820" s="1" t="s">
        <v>7</v>
      </c>
      <c r="F820" s="1" t="s">
        <v>14</v>
      </c>
      <c r="G820" s="1">
        <v>88</v>
      </c>
      <c r="H820" s="1">
        <v>72</v>
      </c>
      <c r="I820" s="1">
        <v>74</v>
      </c>
    </row>
    <row r="821" spans="1:9" x14ac:dyDescent="0.25">
      <c r="A821" s="2" t="s">
        <v>2</v>
      </c>
      <c r="B821" s="1" t="s">
        <v>12</v>
      </c>
      <c r="C821" s="75" t="s">
        <v>6</v>
      </c>
      <c r="D821" s="75">
        <f>COUNTIF($C$2:C821,C821)</f>
        <v>180</v>
      </c>
      <c r="E821" s="1" t="s">
        <v>7</v>
      </c>
      <c r="F821" s="1" t="s">
        <v>14</v>
      </c>
      <c r="G821" s="1">
        <v>60</v>
      </c>
      <c r="H821" s="1">
        <v>54</v>
      </c>
      <c r="I821" s="1">
        <v>47</v>
      </c>
    </row>
    <row r="822" spans="1:9" x14ac:dyDescent="0.25">
      <c r="A822" s="2" t="s">
        <v>2</v>
      </c>
      <c r="B822" s="1" t="s">
        <v>12</v>
      </c>
      <c r="C822" s="75" t="s">
        <v>6</v>
      </c>
      <c r="D822" s="75">
        <f>COUNTIF($C$2:C822,C822)</f>
        <v>181</v>
      </c>
      <c r="E822" s="1" t="s">
        <v>7</v>
      </c>
      <c r="F822" s="1" t="s">
        <v>14</v>
      </c>
      <c r="G822" s="1">
        <v>83</v>
      </c>
      <c r="H822" s="1">
        <v>78</v>
      </c>
      <c r="I822" s="1">
        <v>74</v>
      </c>
    </row>
    <row r="823" spans="1:9" x14ac:dyDescent="0.25">
      <c r="A823" s="2" t="s">
        <v>2</v>
      </c>
      <c r="B823" s="1" t="s">
        <v>12</v>
      </c>
      <c r="C823" s="75" t="s">
        <v>6</v>
      </c>
      <c r="D823" s="75">
        <f>COUNTIF($C$2:C823,C823)</f>
        <v>182</v>
      </c>
      <c r="E823" s="1" t="s">
        <v>7</v>
      </c>
      <c r="F823" s="1" t="s">
        <v>14</v>
      </c>
      <c r="G823" s="1">
        <v>67</v>
      </c>
      <c r="H823" s="1">
        <v>65</v>
      </c>
      <c r="I823" s="1">
        <v>59</v>
      </c>
    </row>
    <row r="824" spans="1:9" x14ac:dyDescent="0.25">
      <c r="A824" s="2" t="s">
        <v>2</v>
      </c>
      <c r="B824" s="1" t="s">
        <v>12</v>
      </c>
      <c r="C824" s="75" t="s">
        <v>6</v>
      </c>
      <c r="D824" s="75">
        <f>COUNTIF($C$2:C824,C824)</f>
        <v>183</v>
      </c>
      <c r="E824" s="1" t="s">
        <v>7</v>
      </c>
      <c r="F824" s="1" t="s">
        <v>14</v>
      </c>
      <c r="G824" s="1">
        <v>81</v>
      </c>
      <c r="H824" s="1">
        <v>62</v>
      </c>
      <c r="I824" s="1">
        <v>61</v>
      </c>
    </row>
    <row r="825" spans="1:9" x14ac:dyDescent="0.25">
      <c r="A825" s="2" t="s">
        <v>2</v>
      </c>
      <c r="B825" s="1" t="s">
        <v>12</v>
      </c>
      <c r="C825" s="75" t="s">
        <v>6</v>
      </c>
      <c r="D825" s="75">
        <f>COUNTIF($C$2:C825,C825)</f>
        <v>184</v>
      </c>
      <c r="E825" s="1" t="s">
        <v>7</v>
      </c>
      <c r="F825" s="1" t="s">
        <v>14</v>
      </c>
      <c r="G825" s="1">
        <v>85</v>
      </c>
      <c r="H825" s="1">
        <v>81</v>
      </c>
      <c r="I825" s="1">
        <v>83</v>
      </c>
    </row>
    <row r="826" spans="1:9" x14ac:dyDescent="0.25">
      <c r="A826" s="2" t="s">
        <v>2</v>
      </c>
      <c r="B826" s="1" t="s">
        <v>12</v>
      </c>
      <c r="C826" s="75" t="s">
        <v>6</v>
      </c>
      <c r="D826" s="75">
        <f>COUNTIF($C$2:C826,C826)</f>
        <v>185</v>
      </c>
      <c r="E826" s="1" t="s">
        <v>7</v>
      </c>
      <c r="F826" s="1" t="s">
        <v>14</v>
      </c>
      <c r="G826" s="1">
        <v>58</v>
      </c>
      <c r="H826" s="1">
        <v>47</v>
      </c>
      <c r="I826" s="1">
        <v>45</v>
      </c>
    </row>
    <row r="827" spans="1:9" x14ac:dyDescent="0.25">
      <c r="A827" s="2" t="s">
        <v>2</v>
      </c>
      <c r="B827" s="1" t="s">
        <v>12</v>
      </c>
      <c r="C827" s="75" t="s">
        <v>6</v>
      </c>
      <c r="D827" s="75">
        <f>COUNTIF($C$2:C827,C827)</f>
        <v>186</v>
      </c>
      <c r="E827" s="1" t="s">
        <v>7</v>
      </c>
      <c r="F827" s="1" t="s">
        <v>15</v>
      </c>
      <c r="G827" s="1">
        <v>82</v>
      </c>
      <c r="H827" s="1">
        <v>82</v>
      </c>
      <c r="I827" s="1">
        <v>82</v>
      </c>
    </row>
    <row r="828" spans="1:9" x14ac:dyDescent="0.25">
      <c r="A828" s="2" t="s">
        <v>2</v>
      </c>
      <c r="B828" s="1" t="s">
        <v>12</v>
      </c>
      <c r="C828" s="75" t="s">
        <v>6</v>
      </c>
      <c r="D828" s="75">
        <f>COUNTIF($C$2:C828,C828)</f>
        <v>187</v>
      </c>
      <c r="E828" s="1" t="s">
        <v>7</v>
      </c>
      <c r="F828" s="1" t="s">
        <v>15</v>
      </c>
      <c r="G828" s="1">
        <v>81</v>
      </c>
      <c r="H828" s="1">
        <v>74</v>
      </c>
      <c r="I828" s="1">
        <v>79</v>
      </c>
    </row>
    <row r="829" spans="1:9" x14ac:dyDescent="0.25">
      <c r="A829" s="2" t="s">
        <v>2</v>
      </c>
      <c r="B829" s="1" t="s">
        <v>12</v>
      </c>
      <c r="C829" s="75" t="s">
        <v>6</v>
      </c>
      <c r="D829" s="75">
        <f>COUNTIF($C$2:C829,C829)</f>
        <v>188</v>
      </c>
      <c r="E829" s="1" t="s">
        <v>7</v>
      </c>
      <c r="F829" s="1" t="s">
        <v>15</v>
      </c>
      <c r="G829" s="1">
        <v>62</v>
      </c>
      <c r="H829" s="1">
        <v>69</v>
      </c>
      <c r="I829" s="1">
        <v>67</v>
      </c>
    </row>
    <row r="830" spans="1:9" x14ac:dyDescent="0.25">
      <c r="A830" s="2" t="s">
        <v>2</v>
      </c>
      <c r="B830" s="1" t="s">
        <v>12</v>
      </c>
      <c r="C830" s="75" t="s">
        <v>6</v>
      </c>
      <c r="D830" s="75">
        <f>COUNTIF($C$2:C830,C830)</f>
        <v>189</v>
      </c>
      <c r="E830" s="1" t="s">
        <v>7</v>
      </c>
      <c r="F830" s="1" t="s">
        <v>15</v>
      </c>
      <c r="G830" s="1">
        <v>65</v>
      </c>
      <c r="H830" s="1">
        <v>60</v>
      </c>
      <c r="I830" s="1">
        <v>57</v>
      </c>
    </row>
    <row r="831" spans="1:9" x14ac:dyDescent="0.25">
      <c r="A831" s="2" t="s">
        <v>2</v>
      </c>
      <c r="B831" s="1" t="s">
        <v>12</v>
      </c>
      <c r="C831" s="75" t="s">
        <v>6</v>
      </c>
      <c r="D831" s="75">
        <f>COUNTIF($C$2:C831,C831)</f>
        <v>190</v>
      </c>
      <c r="E831" s="1" t="s">
        <v>7</v>
      </c>
      <c r="F831" s="1" t="s">
        <v>15</v>
      </c>
      <c r="G831" s="1">
        <v>72</v>
      </c>
      <c r="H831" s="1">
        <v>69</v>
      </c>
      <c r="I831" s="1">
        <v>74</v>
      </c>
    </row>
    <row r="832" spans="1:9" x14ac:dyDescent="0.25">
      <c r="A832" s="2" t="s">
        <v>2</v>
      </c>
      <c r="B832" s="1" t="s">
        <v>12</v>
      </c>
      <c r="C832" s="75" t="s">
        <v>6</v>
      </c>
      <c r="D832" s="75">
        <f>COUNTIF($C$2:C832,C832)</f>
        <v>191</v>
      </c>
      <c r="E832" s="1" t="s">
        <v>7</v>
      </c>
      <c r="F832" s="1" t="s">
        <v>15</v>
      </c>
      <c r="G832" s="1">
        <v>88</v>
      </c>
      <c r="H832" s="1">
        <v>77</v>
      </c>
      <c r="I832" s="1">
        <v>78</v>
      </c>
    </row>
    <row r="833" spans="1:9" x14ac:dyDescent="0.25">
      <c r="A833" s="2" t="s">
        <v>2</v>
      </c>
      <c r="B833" s="1" t="s">
        <v>12</v>
      </c>
      <c r="C833" s="75" t="s">
        <v>6</v>
      </c>
      <c r="D833" s="75">
        <f>COUNTIF($C$2:C833,C833)</f>
        <v>192</v>
      </c>
      <c r="E833" s="1" t="s">
        <v>7</v>
      </c>
      <c r="F833" s="1" t="s">
        <v>15</v>
      </c>
      <c r="G833" s="1">
        <v>76</v>
      </c>
      <c r="H833" s="1">
        <v>75</v>
      </c>
      <c r="I833" s="1">
        <v>77</v>
      </c>
    </row>
    <row r="834" spans="1:9" x14ac:dyDescent="0.25">
      <c r="A834" s="2" t="s">
        <v>2</v>
      </c>
      <c r="B834" s="1" t="s">
        <v>12</v>
      </c>
      <c r="C834" s="75" t="s">
        <v>6</v>
      </c>
      <c r="D834" s="75">
        <f>COUNTIF($C$2:C834,C834)</f>
        <v>193</v>
      </c>
      <c r="E834" s="1" t="s">
        <v>7</v>
      </c>
      <c r="F834" s="1" t="s">
        <v>15</v>
      </c>
      <c r="G834" s="1">
        <v>78</v>
      </c>
      <c r="H834" s="1">
        <v>76</v>
      </c>
      <c r="I834" s="1">
        <v>80</v>
      </c>
    </row>
    <row r="835" spans="1:9" x14ac:dyDescent="0.25">
      <c r="A835" s="2" t="s">
        <v>2</v>
      </c>
      <c r="B835" s="1" t="s">
        <v>12</v>
      </c>
      <c r="C835" s="75" t="s">
        <v>6</v>
      </c>
      <c r="D835" s="75">
        <f>COUNTIF($C$2:C835,C835)</f>
        <v>194</v>
      </c>
      <c r="E835" s="1" t="s">
        <v>7</v>
      </c>
      <c r="F835" s="1" t="s">
        <v>15</v>
      </c>
      <c r="G835" s="1">
        <v>70</v>
      </c>
      <c r="H835" s="1">
        <v>72</v>
      </c>
      <c r="I835" s="1">
        <v>67</v>
      </c>
    </row>
    <row r="836" spans="1:9" x14ac:dyDescent="0.25">
      <c r="A836" s="2" t="s">
        <v>2</v>
      </c>
      <c r="B836" s="1" t="s">
        <v>12</v>
      </c>
      <c r="C836" s="75" t="s">
        <v>6</v>
      </c>
      <c r="D836" s="75">
        <f>COUNTIF($C$2:C836,C836)</f>
        <v>195</v>
      </c>
      <c r="E836" s="1" t="s">
        <v>73</v>
      </c>
      <c r="F836" s="1" t="s">
        <v>14</v>
      </c>
      <c r="G836" s="1">
        <v>58</v>
      </c>
      <c r="H836" s="1">
        <v>52</v>
      </c>
      <c r="I836" s="1">
        <v>51</v>
      </c>
    </row>
    <row r="837" spans="1:9" x14ac:dyDescent="0.25">
      <c r="A837" s="2" t="s">
        <v>2</v>
      </c>
      <c r="B837" s="1" t="s">
        <v>12</v>
      </c>
      <c r="C837" s="75" t="s">
        <v>6</v>
      </c>
      <c r="D837" s="75">
        <f>COUNTIF($C$2:C837,C837)</f>
        <v>196</v>
      </c>
      <c r="E837" s="1" t="s">
        <v>73</v>
      </c>
      <c r="F837" s="1" t="s">
        <v>14</v>
      </c>
      <c r="G837" s="1">
        <v>54</v>
      </c>
      <c r="H837" s="1">
        <v>53</v>
      </c>
      <c r="I837" s="1">
        <v>47</v>
      </c>
    </row>
    <row r="838" spans="1:9" x14ac:dyDescent="0.25">
      <c r="A838" s="2" t="s">
        <v>2</v>
      </c>
      <c r="B838" s="1" t="s">
        <v>12</v>
      </c>
      <c r="C838" s="75" t="s">
        <v>6</v>
      </c>
      <c r="D838" s="75">
        <f>COUNTIF($C$2:C838,C838)</f>
        <v>197</v>
      </c>
      <c r="E838" s="1" t="s">
        <v>73</v>
      </c>
      <c r="F838" s="1" t="s">
        <v>14</v>
      </c>
      <c r="G838" s="1">
        <v>48</v>
      </c>
      <c r="H838" s="1">
        <v>46</v>
      </c>
      <c r="I838" s="1">
        <v>50</v>
      </c>
    </row>
    <row r="839" spans="1:9" x14ac:dyDescent="0.25">
      <c r="A839" s="2" t="s">
        <v>2</v>
      </c>
      <c r="B839" s="1" t="s">
        <v>12</v>
      </c>
      <c r="C839" s="75" t="s">
        <v>6</v>
      </c>
      <c r="D839" s="75">
        <f>COUNTIF($C$2:C839,C839)</f>
        <v>198</v>
      </c>
      <c r="E839" s="1" t="s">
        <v>73</v>
      </c>
      <c r="F839" s="1" t="s">
        <v>14</v>
      </c>
      <c r="G839" s="1">
        <v>54</v>
      </c>
      <c r="H839" s="1">
        <v>49</v>
      </c>
      <c r="I839" s="1">
        <v>48</v>
      </c>
    </row>
    <row r="840" spans="1:9" x14ac:dyDescent="0.25">
      <c r="A840" s="2" t="s">
        <v>2</v>
      </c>
      <c r="B840" s="1" t="s">
        <v>12</v>
      </c>
      <c r="C840" s="75" t="s">
        <v>6</v>
      </c>
      <c r="D840" s="75">
        <f>COUNTIF($C$2:C840,C840)</f>
        <v>199</v>
      </c>
      <c r="E840" s="1" t="s">
        <v>73</v>
      </c>
      <c r="F840" s="1" t="s">
        <v>14</v>
      </c>
      <c r="G840" s="1">
        <v>51</v>
      </c>
      <c r="H840" s="1">
        <v>56</v>
      </c>
      <c r="I840" s="1">
        <v>50</v>
      </c>
    </row>
    <row r="841" spans="1:9" x14ac:dyDescent="0.25">
      <c r="A841" s="2" t="s">
        <v>2</v>
      </c>
      <c r="B841" s="1" t="s">
        <v>12</v>
      </c>
      <c r="C841" s="75" t="s">
        <v>6</v>
      </c>
      <c r="D841" s="75">
        <f>COUNTIF($C$2:C841,C841)</f>
        <v>200</v>
      </c>
      <c r="E841" s="1" t="s">
        <v>73</v>
      </c>
      <c r="F841" s="1" t="s">
        <v>15</v>
      </c>
      <c r="G841" s="1">
        <v>38</v>
      </c>
      <c r="H841" s="1">
        <v>38</v>
      </c>
      <c r="I841" s="1">
        <v>41</v>
      </c>
    </row>
    <row r="842" spans="1:9" x14ac:dyDescent="0.25">
      <c r="A842" s="2" t="s">
        <v>2</v>
      </c>
      <c r="B842" s="1" t="s">
        <v>12</v>
      </c>
      <c r="C842" s="75" t="s">
        <v>6</v>
      </c>
      <c r="D842" s="75">
        <f>COUNTIF($C$2:C842,C842)</f>
        <v>201</v>
      </c>
      <c r="E842" s="1" t="s">
        <v>73</v>
      </c>
      <c r="F842" s="1" t="s">
        <v>15</v>
      </c>
      <c r="G842" s="1">
        <v>58</v>
      </c>
      <c r="H842" s="1">
        <v>67</v>
      </c>
      <c r="I842" s="1">
        <v>67</v>
      </c>
    </row>
    <row r="843" spans="1:9" x14ac:dyDescent="0.25">
      <c r="A843" s="2" t="s">
        <v>2</v>
      </c>
      <c r="B843" s="1" t="s">
        <v>12</v>
      </c>
      <c r="C843" s="76" t="s">
        <v>54</v>
      </c>
      <c r="D843" s="76">
        <f>COUNTIF($C$2:C843,C843)</f>
        <v>158</v>
      </c>
      <c r="E843" s="1" t="s">
        <v>7</v>
      </c>
      <c r="F843" s="1" t="s">
        <v>14</v>
      </c>
      <c r="G843" s="1">
        <v>96</v>
      </c>
      <c r="H843" s="1">
        <v>93</v>
      </c>
      <c r="I843" s="1">
        <v>87</v>
      </c>
    </row>
    <row r="844" spans="1:9" x14ac:dyDescent="0.25">
      <c r="A844" s="2" t="s">
        <v>2</v>
      </c>
      <c r="B844" s="1" t="s">
        <v>12</v>
      </c>
      <c r="C844" s="76" t="s">
        <v>54</v>
      </c>
      <c r="D844" s="76">
        <f>COUNTIF($C$2:C844,C844)</f>
        <v>159</v>
      </c>
      <c r="E844" s="1" t="s">
        <v>7</v>
      </c>
      <c r="F844" s="1" t="s">
        <v>14</v>
      </c>
      <c r="G844" s="1">
        <v>90</v>
      </c>
      <c r="H844" s="1">
        <v>87</v>
      </c>
      <c r="I844" s="1">
        <v>86</v>
      </c>
    </row>
    <row r="845" spans="1:9" x14ac:dyDescent="0.25">
      <c r="A845" s="2" t="s">
        <v>2</v>
      </c>
      <c r="B845" s="1" t="s">
        <v>12</v>
      </c>
      <c r="C845" s="76" t="s">
        <v>54</v>
      </c>
      <c r="D845" s="76">
        <f>COUNTIF($C$2:C845,C845)</f>
        <v>160</v>
      </c>
      <c r="E845" s="1" t="s">
        <v>7</v>
      </c>
      <c r="F845" s="1" t="s">
        <v>14</v>
      </c>
      <c r="G845" s="1">
        <v>80</v>
      </c>
      <c r="H845" s="1">
        <v>70</v>
      </c>
      <c r="I845" s="1">
        <v>73</v>
      </c>
    </row>
    <row r="846" spans="1:9" x14ac:dyDescent="0.25">
      <c r="A846" s="2" t="s">
        <v>2</v>
      </c>
      <c r="B846" s="1" t="s">
        <v>12</v>
      </c>
      <c r="C846" s="76" t="s">
        <v>54</v>
      </c>
      <c r="D846" s="76">
        <f>COUNTIF($C$2:C846,C846)</f>
        <v>161</v>
      </c>
      <c r="E846" s="1" t="s">
        <v>7</v>
      </c>
      <c r="F846" s="1" t="s">
        <v>14</v>
      </c>
      <c r="G846" s="1">
        <v>74</v>
      </c>
      <c r="H846" s="1">
        <v>69</v>
      </c>
      <c r="I846" s="1">
        <v>63</v>
      </c>
    </row>
    <row r="847" spans="1:9" x14ac:dyDescent="0.25">
      <c r="A847" s="2" t="s">
        <v>2</v>
      </c>
      <c r="B847" s="1" t="s">
        <v>12</v>
      </c>
      <c r="C847" s="76" t="s">
        <v>54</v>
      </c>
      <c r="D847" s="76">
        <f>COUNTIF($C$2:C847,C847)</f>
        <v>162</v>
      </c>
      <c r="E847" s="1" t="s">
        <v>7</v>
      </c>
      <c r="F847" s="1" t="s">
        <v>14</v>
      </c>
      <c r="G847" s="1">
        <v>57</v>
      </c>
      <c r="H847" s="1">
        <v>63</v>
      </c>
      <c r="I847" s="1">
        <v>54</v>
      </c>
    </row>
    <row r="848" spans="1:9" x14ac:dyDescent="0.25">
      <c r="A848" s="2" t="s">
        <v>2</v>
      </c>
      <c r="B848" s="1" t="s">
        <v>12</v>
      </c>
      <c r="C848" s="76" t="s">
        <v>54</v>
      </c>
      <c r="D848" s="76">
        <f>COUNTIF($C$2:C848,C848)</f>
        <v>163</v>
      </c>
      <c r="E848" s="1" t="s">
        <v>7</v>
      </c>
      <c r="F848" s="1" t="s">
        <v>14</v>
      </c>
      <c r="G848" s="1">
        <v>67</v>
      </c>
      <c r="H848" s="1">
        <v>72</v>
      </c>
      <c r="I848" s="1">
        <v>65</v>
      </c>
    </row>
    <row r="849" spans="1:9" x14ac:dyDescent="0.25">
      <c r="A849" s="2" t="s">
        <v>2</v>
      </c>
      <c r="B849" s="1" t="s">
        <v>12</v>
      </c>
      <c r="C849" s="76" t="s">
        <v>54</v>
      </c>
      <c r="D849" s="76">
        <f>COUNTIF($C$2:C849,C849)</f>
        <v>164</v>
      </c>
      <c r="E849" s="1" t="s">
        <v>7</v>
      </c>
      <c r="F849" s="1" t="s">
        <v>14</v>
      </c>
      <c r="G849" s="1">
        <v>74</v>
      </c>
      <c r="H849" s="1">
        <v>70</v>
      </c>
      <c r="I849" s="1">
        <v>63</v>
      </c>
    </row>
    <row r="850" spans="1:9" x14ac:dyDescent="0.25">
      <c r="A850" s="2" t="s">
        <v>2</v>
      </c>
      <c r="B850" s="1" t="s">
        <v>12</v>
      </c>
      <c r="C850" s="76" t="s">
        <v>54</v>
      </c>
      <c r="D850" s="76">
        <f>COUNTIF($C$2:C850,C850)</f>
        <v>165</v>
      </c>
      <c r="E850" s="1" t="s">
        <v>7</v>
      </c>
      <c r="F850" s="1" t="s">
        <v>14</v>
      </c>
      <c r="G850" s="1">
        <v>95</v>
      </c>
      <c r="H850" s="1">
        <v>86</v>
      </c>
      <c r="I850" s="1">
        <v>83</v>
      </c>
    </row>
    <row r="851" spans="1:9" x14ac:dyDescent="0.25">
      <c r="A851" s="2" t="s">
        <v>2</v>
      </c>
      <c r="B851" s="1" t="s">
        <v>12</v>
      </c>
      <c r="C851" s="76" t="s">
        <v>54</v>
      </c>
      <c r="D851" s="76">
        <f>COUNTIF($C$2:C851,C851)</f>
        <v>166</v>
      </c>
      <c r="E851" s="1" t="s">
        <v>7</v>
      </c>
      <c r="F851" s="1" t="s">
        <v>14</v>
      </c>
      <c r="G851" s="1">
        <v>89</v>
      </c>
      <c r="H851" s="1">
        <v>78</v>
      </c>
      <c r="I851" s="1">
        <v>76</v>
      </c>
    </row>
    <row r="852" spans="1:9" x14ac:dyDescent="0.25">
      <c r="A852" s="2" t="s">
        <v>2</v>
      </c>
      <c r="B852" s="1" t="s">
        <v>12</v>
      </c>
      <c r="C852" s="76" t="s">
        <v>54</v>
      </c>
      <c r="D852" s="76">
        <f>COUNTIF($C$2:C852,C852)</f>
        <v>167</v>
      </c>
      <c r="E852" s="1" t="s">
        <v>7</v>
      </c>
      <c r="F852" s="1" t="s">
        <v>14</v>
      </c>
      <c r="G852" s="1">
        <v>72</v>
      </c>
      <c r="H852" s="1">
        <v>67</v>
      </c>
      <c r="I852" s="1">
        <v>59</v>
      </c>
    </row>
    <row r="853" spans="1:9" x14ac:dyDescent="0.25">
      <c r="A853" s="2" t="s">
        <v>2</v>
      </c>
      <c r="B853" s="1" t="s">
        <v>12</v>
      </c>
      <c r="C853" s="76" t="s">
        <v>54</v>
      </c>
      <c r="D853" s="76">
        <f>COUNTIF($C$2:C853,C853)</f>
        <v>168</v>
      </c>
      <c r="E853" s="1" t="s">
        <v>7</v>
      </c>
      <c r="F853" s="1" t="s">
        <v>14</v>
      </c>
      <c r="G853" s="1">
        <v>71</v>
      </c>
      <c r="H853" s="1">
        <v>73</v>
      </c>
      <c r="I853" s="1">
        <v>69</v>
      </c>
    </row>
    <row r="854" spans="1:9" x14ac:dyDescent="0.25">
      <c r="A854" s="2" t="s">
        <v>2</v>
      </c>
      <c r="B854" s="1" t="s">
        <v>12</v>
      </c>
      <c r="C854" s="76" t="s">
        <v>54</v>
      </c>
      <c r="D854" s="76">
        <f>COUNTIF($C$2:C854,C854)</f>
        <v>169</v>
      </c>
      <c r="E854" s="1" t="s">
        <v>7</v>
      </c>
      <c r="F854" s="1" t="s">
        <v>14</v>
      </c>
      <c r="G854" s="1">
        <v>97</v>
      </c>
      <c r="H854" s="1">
        <v>94</v>
      </c>
      <c r="I854" s="1">
        <v>91</v>
      </c>
    </row>
    <row r="855" spans="1:9" x14ac:dyDescent="0.25">
      <c r="A855" s="2" t="s">
        <v>2</v>
      </c>
      <c r="B855" s="1" t="s">
        <v>12</v>
      </c>
      <c r="C855" s="76" t="s">
        <v>54</v>
      </c>
      <c r="D855" s="76">
        <f>COUNTIF($C$2:C855,C855)</f>
        <v>170</v>
      </c>
      <c r="E855" s="1" t="s">
        <v>7</v>
      </c>
      <c r="F855" s="1" t="s">
        <v>14</v>
      </c>
      <c r="G855" s="1">
        <v>81</v>
      </c>
      <c r="H855" s="1">
        <v>74</v>
      </c>
      <c r="I855" s="1">
        <v>74</v>
      </c>
    </row>
    <row r="856" spans="1:9" x14ac:dyDescent="0.25">
      <c r="A856" s="2" t="s">
        <v>2</v>
      </c>
      <c r="B856" s="1" t="s">
        <v>12</v>
      </c>
      <c r="C856" s="76" t="s">
        <v>54</v>
      </c>
      <c r="D856" s="76">
        <f>COUNTIF($C$2:C856,C856)</f>
        <v>171</v>
      </c>
      <c r="E856" s="1" t="s">
        <v>7</v>
      </c>
      <c r="F856" s="1" t="s">
        <v>14</v>
      </c>
      <c r="G856" s="1">
        <v>86</v>
      </c>
      <c r="H856" s="1">
        <v>84</v>
      </c>
      <c r="I856" s="1">
        <v>82</v>
      </c>
    </row>
    <row r="857" spans="1:9" x14ac:dyDescent="0.25">
      <c r="A857" s="2" t="s">
        <v>2</v>
      </c>
      <c r="B857" s="1" t="s">
        <v>12</v>
      </c>
      <c r="C857" s="76" t="s">
        <v>54</v>
      </c>
      <c r="D857" s="76">
        <f>COUNTIF($C$2:C857,C857)</f>
        <v>172</v>
      </c>
      <c r="E857" s="1" t="s">
        <v>7</v>
      </c>
      <c r="F857" s="1" t="s">
        <v>14</v>
      </c>
      <c r="G857" s="1">
        <v>99</v>
      </c>
      <c r="H857" s="1">
        <v>97</v>
      </c>
      <c r="I857" s="1">
        <v>95</v>
      </c>
    </row>
    <row r="858" spans="1:9" x14ac:dyDescent="0.25">
      <c r="A858" s="2" t="s">
        <v>2</v>
      </c>
      <c r="B858" s="1" t="s">
        <v>12</v>
      </c>
      <c r="C858" s="76" t="s">
        <v>54</v>
      </c>
      <c r="D858" s="76">
        <f>COUNTIF($C$2:C858,C858)</f>
        <v>173</v>
      </c>
      <c r="E858" s="1" t="s">
        <v>7</v>
      </c>
      <c r="F858" s="1" t="s">
        <v>14</v>
      </c>
      <c r="G858" s="1">
        <v>86</v>
      </c>
      <c r="H858" s="1">
        <v>72</v>
      </c>
      <c r="I858" s="1">
        <v>76</v>
      </c>
    </row>
    <row r="859" spans="1:9" x14ac:dyDescent="0.25">
      <c r="A859" s="2" t="s">
        <v>2</v>
      </c>
      <c r="B859" s="1" t="s">
        <v>12</v>
      </c>
      <c r="C859" s="76" t="s">
        <v>54</v>
      </c>
      <c r="D859" s="76">
        <f>COUNTIF($C$2:C859,C859)</f>
        <v>174</v>
      </c>
      <c r="E859" s="1" t="s">
        <v>7</v>
      </c>
      <c r="F859" s="1" t="s">
        <v>14</v>
      </c>
      <c r="G859" s="1">
        <v>44</v>
      </c>
      <c r="H859" s="1">
        <v>45</v>
      </c>
      <c r="I859" s="1">
        <v>41</v>
      </c>
    </row>
    <row r="860" spans="1:9" x14ac:dyDescent="0.25">
      <c r="A860" s="2" t="s">
        <v>2</v>
      </c>
      <c r="B860" s="1" t="s">
        <v>12</v>
      </c>
      <c r="C860" s="76" t="s">
        <v>54</v>
      </c>
      <c r="D860" s="76">
        <f>COUNTIF($C$2:C860,C860)</f>
        <v>175</v>
      </c>
      <c r="E860" s="1" t="s">
        <v>7</v>
      </c>
      <c r="F860" s="1" t="s">
        <v>14</v>
      </c>
      <c r="G860" s="1">
        <v>61</v>
      </c>
      <c r="H860" s="1">
        <v>56</v>
      </c>
      <c r="I860" s="1">
        <v>56</v>
      </c>
    </row>
    <row r="861" spans="1:9" x14ac:dyDescent="0.25">
      <c r="A861" s="2" t="s">
        <v>2</v>
      </c>
      <c r="B861" s="1" t="s">
        <v>12</v>
      </c>
      <c r="C861" s="76" t="s">
        <v>54</v>
      </c>
      <c r="D861" s="76">
        <f>COUNTIF($C$2:C861,C861)</f>
        <v>176</v>
      </c>
      <c r="E861" s="1" t="s">
        <v>7</v>
      </c>
      <c r="F861" s="1" t="s">
        <v>14</v>
      </c>
      <c r="G861" s="1">
        <v>72</v>
      </c>
      <c r="H861" s="1">
        <v>62</v>
      </c>
      <c r="I861" s="1">
        <v>60</v>
      </c>
    </row>
    <row r="862" spans="1:9" x14ac:dyDescent="0.25">
      <c r="A862" s="2" t="s">
        <v>2</v>
      </c>
      <c r="B862" s="1" t="s">
        <v>12</v>
      </c>
      <c r="C862" s="76" t="s">
        <v>54</v>
      </c>
      <c r="D862" s="76">
        <f>COUNTIF($C$2:C862,C862)</f>
        <v>177</v>
      </c>
      <c r="E862" s="1" t="s">
        <v>7</v>
      </c>
      <c r="F862" s="1" t="s">
        <v>14</v>
      </c>
      <c r="G862" s="1">
        <v>100</v>
      </c>
      <c r="H862" s="1">
        <v>93</v>
      </c>
      <c r="I862" s="1">
        <v>89</v>
      </c>
    </row>
    <row r="863" spans="1:9" x14ac:dyDescent="0.25">
      <c r="A863" s="2" t="s">
        <v>2</v>
      </c>
      <c r="B863" s="1" t="s">
        <v>12</v>
      </c>
      <c r="C863" s="76" t="s">
        <v>54</v>
      </c>
      <c r="D863" s="76">
        <f>COUNTIF($C$2:C863,C863)</f>
        <v>178</v>
      </c>
      <c r="E863" s="1" t="s">
        <v>7</v>
      </c>
      <c r="F863" s="1" t="s">
        <v>15</v>
      </c>
      <c r="G863" s="1">
        <v>99</v>
      </c>
      <c r="H863" s="1">
        <v>85</v>
      </c>
      <c r="I863" s="1">
        <v>88</v>
      </c>
    </row>
    <row r="864" spans="1:9" x14ac:dyDescent="0.25">
      <c r="A864" s="2" t="s">
        <v>2</v>
      </c>
      <c r="B864" s="1" t="s">
        <v>12</v>
      </c>
      <c r="C864" s="76" t="s">
        <v>54</v>
      </c>
      <c r="D864" s="76">
        <f>COUNTIF($C$2:C864,C864)</f>
        <v>179</v>
      </c>
      <c r="E864" s="1" t="s">
        <v>7</v>
      </c>
      <c r="F864" s="1" t="s">
        <v>15</v>
      </c>
      <c r="G864" s="1">
        <v>68</v>
      </c>
      <c r="H864" s="1">
        <v>66</v>
      </c>
      <c r="I864" s="1">
        <v>72</v>
      </c>
    </row>
    <row r="865" spans="1:9" x14ac:dyDescent="0.25">
      <c r="A865" s="2" t="s">
        <v>2</v>
      </c>
      <c r="B865" s="1" t="s">
        <v>12</v>
      </c>
      <c r="C865" s="76" t="s">
        <v>54</v>
      </c>
      <c r="D865" s="76">
        <f>COUNTIF($C$2:C865,C865)</f>
        <v>180</v>
      </c>
      <c r="E865" s="1" t="s">
        <v>7</v>
      </c>
      <c r="F865" s="1" t="s">
        <v>15</v>
      </c>
      <c r="G865" s="1">
        <v>67</v>
      </c>
      <c r="H865" s="1">
        <v>68</v>
      </c>
      <c r="I865" s="1">
        <v>69</v>
      </c>
    </row>
    <row r="866" spans="1:9" x14ac:dyDescent="0.25">
      <c r="A866" s="2" t="s">
        <v>2</v>
      </c>
      <c r="B866" s="1" t="s">
        <v>12</v>
      </c>
      <c r="C866" s="76" t="s">
        <v>54</v>
      </c>
      <c r="D866" s="76">
        <f>COUNTIF($C$2:C866,C866)</f>
        <v>181</v>
      </c>
      <c r="E866" s="1" t="s">
        <v>7</v>
      </c>
      <c r="F866" s="1" t="s">
        <v>15</v>
      </c>
      <c r="G866" s="1">
        <v>99</v>
      </c>
      <c r="H866" s="1">
        <v>100</v>
      </c>
      <c r="I866" s="1">
        <v>100</v>
      </c>
    </row>
    <row r="867" spans="1:9" x14ac:dyDescent="0.25">
      <c r="A867" s="2" t="s">
        <v>2</v>
      </c>
      <c r="B867" s="1" t="s">
        <v>12</v>
      </c>
      <c r="C867" s="76" t="s">
        <v>54</v>
      </c>
      <c r="D867" s="76">
        <f>COUNTIF($C$2:C867,C867)</f>
        <v>182</v>
      </c>
      <c r="E867" s="1" t="s">
        <v>7</v>
      </c>
      <c r="F867" s="1" t="s">
        <v>15</v>
      </c>
      <c r="G867" s="1">
        <v>89</v>
      </c>
      <c r="H867" s="1">
        <v>75</v>
      </c>
      <c r="I867" s="1">
        <v>80</v>
      </c>
    </row>
    <row r="868" spans="1:9" x14ac:dyDescent="0.25">
      <c r="A868" s="2" t="s">
        <v>2</v>
      </c>
      <c r="B868" s="1" t="s">
        <v>12</v>
      </c>
      <c r="C868" s="76" t="s">
        <v>54</v>
      </c>
      <c r="D868" s="76">
        <f>COUNTIF($C$2:C868,C868)</f>
        <v>183</v>
      </c>
      <c r="E868" s="1" t="s">
        <v>7</v>
      </c>
      <c r="F868" s="1" t="s">
        <v>15</v>
      </c>
      <c r="G868" s="1">
        <v>89</v>
      </c>
      <c r="H868" s="1">
        <v>83</v>
      </c>
      <c r="I868" s="1">
        <v>81</v>
      </c>
    </row>
    <row r="869" spans="1:9" x14ac:dyDescent="0.25">
      <c r="A869" s="2" t="s">
        <v>2</v>
      </c>
      <c r="B869" s="1" t="s">
        <v>12</v>
      </c>
      <c r="C869" s="76" t="s">
        <v>54</v>
      </c>
      <c r="D869" s="76">
        <f>COUNTIF($C$2:C869,C869)</f>
        <v>184</v>
      </c>
      <c r="E869" s="1" t="s">
        <v>7</v>
      </c>
      <c r="F869" s="1" t="s">
        <v>15</v>
      </c>
      <c r="G869" s="1">
        <v>100</v>
      </c>
      <c r="H869" s="1">
        <v>100</v>
      </c>
      <c r="I869" s="1">
        <v>98</v>
      </c>
    </row>
    <row r="870" spans="1:9" x14ac:dyDescent="0.25">
      <c r="A870" s="2" t="s">
        <v>2</v>
      </c>
      <c r="B870" s="1" t="s">
        <v>12</v>
      </c>
      <c r="C870" s="76" t="s">
        <v>54</v>
      </c>
      <c r="D870" s="76">
        <f>COUNTIF($C$2:C870,C870)</f>
        <v>185</v>
      </c>
      <c r="E870" s="1" t="s">
        <v>7</v>
      </c>
      <c r="F870" s="1" t="s">
        <v>15</v>
      </c>
      <c r="G870" s="1">
        <v>67</v>
      </c>
      <c r="H870" s="1">
        <v>62</v>
      </c>
      <c r="I870" s="1">
        <v>67</v>
      </c>
    </row>
    <row r="871" spans="1:9" x14ac:dyDescent="0.25">
      <c r="A871" s="2" t="s">
        <v>2</v>
      </c>
      <c r="B871" s="1" t="s">
        <v>12</v>
      </c>
      <c r="C871" s="76" t="s">
        <v>54</v>
      </c>
      <c r="D871" s="76">
        <f>COUNTIF($C$2:C871,C871)</f>
        <v>186</v>
      </c>
      <c r="E871" s="1" t="s">
        <v>73</v>
      </c>
      <c r="F871" s="1" t="s">
        <v>14</v>
      </c>
      <c r="G871" s="1">
        <v>68</v>
      </c>
      <c r="H871" s="1">
        <v>69</v>
      </c>
      <c r="I871" s="1">
        <v>55</v>
      </c>
    </row>
    <row r="872" spans="1:9" x14ac:dyDescent="0.25">
      <c r="A872" s="2" t="s">
        <v>2</v>
      </c>
      <c r="B872" s="1" t="s">
        <v>12</v>
      </c>
      <c r="C872" s="76" t="s">
        <v>54</v>
      </c>
      <c r="D872" s="76">
        <f>COUNTIF($C$2:C872,C872)</f>
        <v>187</v>
      </c>
      <c r="E872" s="1" t="s">
        <v>73</v>
      </c>
      <c r="F872" s="1" t="s">
        <v>14</v>
      </c>
      <c r="G872" s="1">
        <v>82</v>
      </c>
      <c r="H872" s="1">
        <v>76</v>
      </c>
      <c r="I872" s="1">
        <v>75</v>
      </c>
    </row>
    <row r="873" spans="1:9" x14ac:dyDescent="0.25">
      <c r="A873" s="2" t="s">
        <v>2</v>
      </c>
      <c r="B873" s="1" t="s">
        <v>12</v>
      </c>
      <c r="C873" s="76" t="s">
        <v>54</v>
      </c>
      <c r="D873" s="76">
        <f>COUNTIF($C$2:C873,C873)</f>
        <v>188</v>
      </c>
      <c r="E873" s="1" t="s">
        <v>73</v>
      </c>
      <c r="F873" s="1" t="s">
        <v>14</v>
      </c>
      <c r="G873" s="1">
        <v>49</v>
      </c>
      <c r="H873" s="1">
        <v>54</v>
      </c>
      <c r="I873" s="1">
        <v>50</v>
      </c>
    </row>
    <row r="874" spans="1:9" x14ac:dyDescent="0.25">
      <c r="A874" s="2" t="s">
        <v>2</v>
      </c>
      <c r="B874" s="1" t="s">
        <v>12</v>
      </c>
      <c r="C874" s="76" t="s">
        <v>54</v>
      </c>
      <c r="D874" s="76">
        <f>COUNTIF($C$2:C874,C874)</f>
        <v>189</v>
      </c>
      <c r="E874" s="1" t="s">
        <v>73</v>
      </c>
      <c r="F874" s="1" t="s">
        <v>15</v>
      </c>
      <c r="G874" s="1">
        <v>82</v>
      </c>
      <c r="H874" s="1">
        <v>78</v>
      </c>
      <c r="I874" s="1">
        <v>90</v>
      </c>
    </row>
    <row r="875" spans="1:9" x14ac:dyDescent="0.25">
      <c r="A875" s="2" t="s">
        <v>2</v>
      </c>
      <c r="B875" s="1" t="s">
        <v>12</v>
      </c>
      <c r="C875" s="76" t="s">
        <v>54</v>
      </c>
      <c r="D875" s="76">
        <f>COUNTIF($C$2:C875,C875)</f>
        <v>190</v>
      </c>
      <c r="E875" s="1" t="s">
        <v>73</v>
      </c>
      <c r="F875" s="1" t="s">
        <v>15</v>
      </c>
      <c r="G875" s="1">
        <v>57</v>
      </c>
      <c r="H875" s="1">
        <v>58</v>
      </c>
      <c r="I875" s="1">
        <v>54</v>
      </c>
    </row>
    <row r="876" spans="1:9" x14ac:dyDescent="0.25">
      <c r="A876" s="2" t="s">
        <v>2</v>
      </c>
      <c r="B876" s="1" t="s">
        <v>12</v>
      </c>
      <c r="C876" s="76" t="s">
        <v>54</v>
      </c>
      <c r="D876" s="76">
        <f>COUNTIF($C$2:C876,C876)</f>
        <v>191</v>
      </c>
      <c r="E876" s="1" t="s">
        <v>73</v>
      </c>
      <c r="F876" s="1" t="s">
        <v>15</v>
      </c>
      <c r="G876" s="1">
        <v>75</v>
      </c>
      <c r="H876" s="1">
        <v>78</v>
      </c>
      <c r="I876" s="1">
        <v>77</v>
      </c>
    </row>
    <row r="877" spans="1:9" x14ac:dyDescent="0.25">
      <c r="A877" s="2" t="s">
        <v>2</v>
      </c>
      <c r="B877" s="1" t="s">
        <v>12</v>
      </c>
      <c r="C877" s="77" t="s">
        <v>42</v>
      </c>
      <c r="D877" s="77">
        <f>COUNTIF($C$2:C877,C877)</f>
        <v>177</v>
      </c>
      <c r="E877" s="1" t="s">
        <v>7</v>
      </c>
      <c r="F877" s="1" t="s">
        <v>14</v>
      </c>
      <c r="G877" s="1">
        <v>69</v>
      </c>
      <c r="H877" s="1">
        <v>73</v>
      </c>
      <c r="I877" s="1">
        <v>67</v>
      </c>
    </row>
    <row r="878" spans="1:9" x14ac:dyDescent="0.25">
      <c r="A878" s="2" t="s">
        <v>2</v>
      </c>
      <c r="B878" s="1" t="s">
        <v>12</v>
      </c>
      <c r="C878" s="77" t="s">
        <v>42</v>
      </c>
      <c r="D878" s="77">
        <f>COUNTIF($C$2:C878,C878)</f>
        <v>178</v>
      </c>
      <c r="E878" s="1" t="s">
        <v>7</v>
      </c>
      <c r="F878" s="1" t="s">
        <v>14</v>
      </c>
      <c r="G878" s="1">
        <v>80</v>
      </c>
      <c r="H878" s="1">
        <v>75</v>
      </c>
      <c r="I878" s="1">
        <v>74</v>
      </c>
    </row>
    <row r="879" spans="1:9" x14ac:dyDescent="0.25">
      <c r="A879" s="2" t="s">
        <v>2</v>
      </c>
      <c r="B879" s="1" t="s">
        <v>12</v>
      </c>
      <c r="C879" s="77" t="s">
        <v>42</v>
      </c>
      <c r="D879" s="77">
        <f>COUNTIF($C$2:C879,C879)</f>
        <v>179</v>
      </c>
      <c r="E879" s="1" t="s">
        <v>7</v>
      </c>
      <c r="F879" s="1" t="s">
        <v>14</v>
      </c>
      <c r="G879" s="1">
        <v>74</v>
      </c>
      <c r="H879" s="1">
        <v>74</v>
      </c>
      <c r="I879" s="1">
        <v>70</v>
      </c>
    </row>
    <row r="880" spans="1:9" x14ac:dyDescent="0.25">
      <c r="A880" s="2" t="s">
        <v>2</v>
      </c>
      <c r="B880" s="1" t="s">
        <v>12</v>
      </c>
      <c r="C880" s="77" t="s">
        <v>42</v>
      </c>
      <c r="D880" s="77">
        <f>COUNTIF($C$2:C880,C880)</f>
        <v>180</v>
      </c>
      <c r="E880" s="1" t="s">
        <v>7</v>
      </c>
      <c r="F880" s="1" t="s">
        <v>14</v>
      </c>
      <c r="G880" s="1">
        <v>76</v>
      </c>
      <c r="H880" s="1">
        <v>74</v>
      </c>
      <c r="I880" s="1">
        <v>71</v>
      </c>
    </row>
    <row r="881" spans="1:9" x14ac:dyDescent="0.25">
      <c r="A881" s="2" t="s">
        <v>2</v>
      </c>
      <c r="B881" s="1" t="s">
        <v>12</v>
      </c>
      <c r="C881" s="77" t="s">
        <v>42</v>
      </c>
      <c r="D881" s="77">
        <f>COUNTIF($C$2:C881,C881)</f>
        <v>181</v>
      </c>
      <c r="E881" s="1" t="s">
        <v>7</v>
      </c>
      <c r="F881" s="1" t="s">
        <v>14</v>
      </c>
      <c r="G881" s="1">
        <v>75</v>
      </c>
      <c r="H881" s="1">
        <v>66</v>
      </c>
      <c r="I881" s="1">
        <v>72</v>
      </c>
    </row>
    <row r="882" spans="1:9" x14ac:dyDescent="0.25">
      <c r="A882" s="2" t="s">
        <v>2</v>
      </c>
      <c r="B882" s="1" t="s">
        <v>12</v>
      </c>
      <c r="C882" s="77" t="s">
        <v>42</v>
      </c>
      <c r="D882" s="77">
        <f>COUNTIF($C$2:C882,C882)</f>
        <v>182</v>
      </c>
      <c r="E882" s="1" t="s">
        <v>7</v>
      </c>
      <c r="F882" s="1" t="s">
        <v>14</v>
      </c>
      <c r="G882" s="1">
        <v>74</v>
      </c>
      <c r="H882" s="1">
        <v>63</v>
      </c>
      <c r="I882" s="1">
        <v>65</v>
      </c>
    </row>
    <row r="883" spans="1:9" x14ac:dyDescent="0.25">
      <c r="A883" s="2" t="s">
        <v>2</v>
      </c>
      <c r="B883" s="1" t="s">
        <v>12</v>
      </c>
      <c r="C883" s="77" t="s">
        <v>42</v>
      </c>
      <c r="D883" s="77">
        <f>COUNTIF($C$2:C883,C883)</f>
        <v>183</v>
      </c>
      <c r="E883" s="1" t="s">
        <v>7</v>
      </c>
      <c r="F883" s="1" t="s">
        <v>14</v>
      </c>
      <c r="G883" s="1">
        <v>98</v>
      </c>
      <c r="H883" s="1">
        <v>88</v>
      </c>
      <c r="I883" s="1">
        <v>85</v>
      </c>
    </row>
    <row r="884" spans="1:9" x14ac:dyDescent="0.25">
      <c r="A884" s="2" t="s">
        <v>2</v>
      </c>
      <c r="B884" s="1" t="s">
        <v>12</v>
      </c>
      <c r="C884" s="77" t="s">
        <v>42</v>
      </c>
      <c r="D884" s="77">
        <f>COUNTIF($C$2:C884,C884)</f>
        <v>184</v>
      </c>
      <c r="E884" s="1" t="s">
        <v>7</v>
      </c>
      <c r="F884" s="1" t="s">
        <v>14</v>
      </c>
      <c r="G884" s="1">
        <v>81</v>
      </c>
      <c r="H884" s="1">
        <v>86</v>
      </c>
      <c r="I884" s="1">
        <v>78</v>
      </c>
    </row>
    <row r="885" spans="1:9" x14ac:dyDescent="0.25">
      <c r="A885" s="2" t="s">
        <v>2</v>
      </c>
      <c r="B885" s="1" t="s">
        <v>12</v>
      </c>
      <c r="C885" s="77" t="s">
        <v>42</v>
      </c>
      <c r="D885" s="77">
        <f>COUNTIF($C$2:C885,C885)</f>
        <v>185</v>
      </c>
      <c r="E885" s="1" t="s">
        <v>7</v>
      </c>
      <c r="F885" s="1" t="s">
        <v>14</v>
      </c>
      <c r="G885" s="1">
        <v>92</v>
      </c>
      <c r="H885" s="1">
        <v>77</v>
      </c>
      <c r="I885" s="1">
        <v>84</v>
      </c>
    </row>
    <row r="886" spans="1:9" x14ac:dyDescent="0.25">
      <c r="A886" s="2" t="s">
        <v>2</v>
      </c>
      <c r="B886" s="1" t="s">
        <v>12</v>
      </c>
      <c r="C886" s="77" t="s">
        <v>42</v>
      </c>
      <c r="D886" s="77">
        <f>COUNTIF($C$2:C886,C886)</f>
        <v>186</v>
      </c>
      <c r="E886" s="1" t="s">
        <v>7</v>
      </c>
      <c r="F886" s="1" t="s">
        <v>14</v>
      </c>
      <c r="G886" s="1">
        <v>79</v>
      </c>
      <c r="H886" s="1">
        <v>56</v>
      </c>
      <c r="I886" s="1">
        <v>68</v>
      </c>
    </row>
    <row r="887" spans="1:9" x14ac:dyDescent="0.25">
      <c r="A887" s="2" t="s">
        <v>2</v>
      </c>
      <c r="B887" s="1" t="s">
        <v>12</v>
      </c>
      <c r="C887" s="77" t="s">
        <v>42</v>
      </c>
      <c r="D887" s="77">
        <f>COUNTIF($C$2:C887,C887)</f>
        <v>187</v>
      </c>
      <c r="E887" s="1" t="s">
        <v>7</v>
      </c>
      <c r="F887" s="1" t="s">
        <v>14</v>
      </c>
      <c r="G887" s="1">
        <v>63</v>
      </c>
      <c r="H887" s="1">
        <v>60</v>
      </c>
      <c r="I887" s="1">
        <v>53</v>
      </c>
    </row>
    <row r="888" spans="1:9" x14ac:dyDescent="0.25">
      <c r="A888" s="2" t="s">
        <v>2</v>
      </c>
      <c r="B888" s="1" t="s">
        <v>12</v>
      </c>
      <c r="C888" s="77" t="s">
        <v>42</v>
      </c>
      <c r="D888" s="77">
        <f>COUNTIF($C$2:C888,C888)</f>
        <v>188</v>
      </c>
      <c r="E888" s="1" t="s">
        <v>7</v>
      </c>
      <c r="F888" s="1" t="s">
        <v>14</v>
      </c>
      <c r="G888" s="1">
        <v>59</v>
      </c>
      <c r="H888" s="1">
        <v>62</v>
      </c>
      <c r="I888" s="1">
        <v>52</v>
      </c>
    </row>
    <row r="889" spans="1:9" x14ac:dyDescent="0.25">
      <c r="A889" s="2" t="s">
        <v>2</v>
      </c>
      <c r="B889" s="1" t="s">
        <v>12</v>
      </c>
      <c r="C889" s="77" t="s">
        <v>42</v>
      </c>
      <c r="D889" s="77">
        <f>COUNTIF($C$2:C889,C889)</f>
        <v>189</v>
      </c>
      <c r="E889" s="1" t="s">
        <v>7</v>
      </c>
      <c r="F889" s="1" t="s">
        <v>15</v>
      </c>
      <c r="G889" s="1">
        <v>96</v>
      </c>
      <c r="H889" s="1">
        <v>92</v>
      </c>
      <c r="I889" s="1">
        <v>88</v>
      </c>
    </row>
    <row r="890" spans="1:9" x14ac:dyDescent="0.25">
      <c r="A890" s="2" t="s">
        <v>2</v>
      </c>
      <c r="B890" s="1" t="s">
        <v>12</v>
      </c>
      <c r="C890" s="77" t="s">
        <v>42</v>
      </c>
      <c r="D890" s="77">
        <f>COUNTIF($C$2:C890,C890)</f>
        <v>190</v>
      </c>
      <c r="E890" s="1" t="s">
        <v>7</v>
      </c>
      <c r="F890" s="1" t="s">
        <v>15</v>
      </c>
      <c r="G890" s="1">
        <v>70</v>
      </c>
      <c r="H890" s="1">
        <v>66</v>
      </c>
      <c r="I890" s="1">
        <v>68</v>
      </c>
    </row>
    <row r="891" spans="1:9" x14ac:dyDescent="0.25">
      <c r="A891" s="2" t="s">
        <v>2</v>
      </c>
      <c r="B891" s="1" t="s">
        <v>12</v>
      </c>
      <c r="C891" s="77" t="s">
        <v>42</v>
      </c>
      <c r="D891" s="77">
        <f>COUNTIF($C$2:C891,C891)</f>
        <v>191</v>
      </c>
      <c r="E891" s="1" t="s">
        <v>7</v>
      </c>
      <c r="F891" s="1" t="s">
        <v>15</v>
      </c>
      <c r="G891" s="1">
        <v>82</v>
      </c>
      <c r="H891" s="1">
        <v>79</v>
      </c>
      <c r="I891" s="1">
        <v>81</v>
      </c>
    </row>
    <row r="892" spans="1:9" x14ac:dyDescent="0.25">
      <c r="A892" s="2" t="s">
        <v>2</v>
      </c>
      <c r="B892" s="1" t="s">
        <v>12</v>
      </c>
      <c r="C892" s="77" t="s">
        <v>42</v>
      </c>
      <c r="D892" s="77">
        <f>COUNTIF($C$2:C892,C892)</f>
        <v>192</v>
      </c>
      <c r="E892" s="1" t="s">
        <v>7</v>
      </c>
      <c r="F892" s="1" t="s">
        <v>15</v>
      </c>
      <c r="G892" s="1">
        <v>69</v>
      </c>
      <c r="H892" s="1">
        <v>58</v>
      </c>
      <c r="I892" s="1">
        <v>60</v>
      </c>
    </row>
    <row r="893" spans="1:9" x14ac:dyDescent="0.25">
      <c r="A893" s="2" t="s">
        <v>2</v>
      </c>
      <c r="B893" s="1" t="s">
        <v>12</v>
      </c>
      <c r="C893" s="77" t="s">
        <v>42</v>
      </c>
      <c r="D893" s="77">
        <f>COUNTIF($C$2:C893,C893)</f>
        <v>193</v>
      </c>
      <c r="E893" s="1" t="s">
        <v>7</v>
      </c>
      <c r="F893" s="1" t="s">
        <v>15</v>
      </c>
      <c r="G893" s="1">
        <v>80</v>
      </c>
      <c r="H893" s="1">
        <v>67</v>
      </c>
      <c r="I893" s="1">
        <v>72</v>
      </c>
    </row>
    <row r="894" spans="1:9" x14ac:dyDescent="0.25">
      <c r="A894" s="2" t="s">
        <v>2</v>
      </c>
      <c r="B894" s="1" t="s">
        <v>12</v>
      </c>
      <c r="C894" s="77" t="s">
        <v>42</v>
      </c>
      <c r="D894" s="77">
        <f>COUNTIF($C$2:C894,C894)</f>
        <v>194</v>
      </c>
      <c r="E894" s="1" t="s">
        <v>7</v>
      </c>
      <c r="F894" s="1" t="s">
        <v>15</v>
      </c>
      <c r="G894" s="1">
        <v>94</v>
      </c>
      <c r="H894" s="1">
        <v>97</v>
      </c>
      <c r="I894" s="1">
        <v>95</v>
      </c>
    </row>
    <row r="895" spans="1:9" x14ac:dyDescent="0.25">
      <c r="A895" s="2" t="s">
        <v>2</v>
      </c>
      <c r="B895" s="1" t="s">
        <v>12</v>
      </c>
      <c r="C895" s="77" t="s">
        <v>42</v>
      </c>
      <c r="D895" s="77">
        <f>COUNTIF($C$2:C895,C895)</f>
        <v>195</v>
      </c>
      <c r="E895" s="1" t="s">
        <v>73</v>
      </c>
      <c r="F895" s="1" t="s">
        <v>14</v>
      </c>
      <c r="G895" s="1">
        <v>82</v>
      </c>
      <c r="H895" s="1">
        <v>72</v>
      </c>
      <c r="I895" s="1">
        <v>69</v>
      </c>
    </row>
    <row r="896" spans="1:9" x14ac:dyDescent="0.25">
      <c r="A896" s="2" t="s">
        <v>2</v>
      </c>
      <c r="B896" s="1" t="s">
        <v>12</v>
      </c>
      <c r="C896" s="77" t="s">
        <v>42</v>
      </c>
      <c r="D896" s="77">
        <f>COUNTIF($C$2:C896,C896)</f>
        <v>196</v>
      </c>
      <c r="E896" s="1" t="s">
        <v>73</v>
      </c>
      <c r="F896" s="1" t="s">
        <v>14</v>
      </c>
      <c r="G896" s="1">
        <v>62</v>
      </c>
      <c r="H896" s="1">
        <v>61</v>
      </c>
      <c r="I896" s="1">
        <v>57</v>
      </c>
    </row>
    <row r="897" spans="1:9" x14ac:dyDescent="0.25">
      <c r="A897" s="2" t="s">
        <v>2</v>
      </c>
      <c r="B897" s="1" t="s">
        <v>12</v>
      </c>
      <c r="C897" s="77" t="s">
        <v>42</v>
      </c>
      <c r="D897" s="77">
        <f>COUNTIF($C$2:C897,C897)</f>
        <v>197</v>
      </c>
      <c r="E897" s="1" t="s">
        <v>73</v>
      </c>
      <c r="F897" s="1" t="s">
        <v>14</v>
      </c>
      <c r="G897" s="1">
        <v>61</v>
      </c>
      <c r="H897" s="1">
        <v>53</v>
      </c>
      <c r="I897" s="1">
        <v>48</v>
      </c>
    </row>
    <row r="898" spans="1:9" x14ac:dyDescent="0.25">
      <c r="A898" s="2" t="s">
        <v>2</v>
      </c>
      <c r="B898" s="1" t="s">
        <v>12</v>
      </c>
      <c r="C898" s="77" t="s">
        <v>42</v>
      </c>
      <c r="D898" s="77">
        <f>COUNTIF($C$2:C898,C898)</f>
        <v>198</v>
      </c>
      <c r="E898" s="1" t="s">
        <v>73</v>
      </c>
      <c r="F898" s="1" t="s">
        <v>14</v>
      </c>
      <c r="G898" s="1">
        <v>59</v>
      </c>
      <c r="H898" s="1">
        <v>45</v>
      </c>
      <c r="I898" s="1">
        <v>44</v>
      </c>
    </row>
    <row r="899" spans="1:9" x14ac:dyDescent="0.25">
      <c r="A899" s="2" t="s">
        <v>2</v>
      </c>
      <c r="B899" s="1" t="s">
        <v>12</v>
      </c>
      <c r="C899" s="77" t="s">
        <v>42</v>
      </c>
      <c r="D899" s="77">
        <f>COUNTIF($C$2:C899,C899)</f>
        <v>199</v>
      </c>
      <c r="E899" s="1" t="s">
        <v>73</v>
      </c>
      <c r="F899" s="1" t="s">
        <v>14</v>
      </c>
      <c r="G899" s="1">
        <v>62</v>
      </c>
      <c r="H899" s="1">
        <v>58</v>
      </c>
      <c r="I899" s="1">
        <v>56</v>
      </c>
    </row>
    <row r="900" spans="1:9" x14ac:dyDescent="0.25">
      <c r="A900" s="2" t="s">
        <v>2</v>
      </c>
      <c r="B900" s="1" t="s">
        <v>12</v>
      </c>
      <c r="C900" s="77" t="s">
        <v>42</v>
      </c>
      <c r="D900" s="77">
        <f>COUNTIF($C$2:C900,C900)</f>
        <v>200</v>
      </c>
      <c r="E900" s="1" t="s">
        <v>73</v>
      </c>
      <c r="F900" s="1" t="s">
        <v>14</v>
      </c>
      <c r="G900" s="1">
        <v>67</v>
      </c>
      <c r="H900" s="1">
        <v>58</v>
      </c>
      <c r="I900" s="1">
        <v>58</v>
      </c>
    </row>
    <row r="901" spans="1:9" x14ac:dyDescent="0.25">
      <c r="A901" s="2" t="s">
        <v>2</v>
      </c>
      <c r="B901" s="1" t="s">
        <v>12</v>
      </c>
      <c r="C901" s="77" t="s">
        <v>42</v>
      </c>
      <c r="D901" s="77">
        <f>COUNTIF($C$2:C901,C901)</f>
        <v>201</v>
      </c>
      <c r="E901" s="1" t="s">
        <v>73</v>
      </c>
      <c r="F901" s="1" t="s">
        <v>14</v>
      </c>
      <c r="G901" s="1">
        <v>66</v>
      </c>
      <c r="H901" s="1">
        <v>56</v>
      </c>
      <c r="I901" s="1">
        <v>56</v>
      </c>
    </row>
    <row r="902" spans="1:9" x14ac:dyDescent="0.25">
      <c r="A902" s="2" t="s">
        <v>2</v>
      </c>
      <c r="B902" s="1" t="s">
        <v>12</v>
      </c>
      <c r="C902" s="77" t="s">
        <v>42</v>
      </c>
      <c r="D902" s="77">
        <f>COUNTIF($C$2:C902,C902)</f>
        <v>202</v>
      </c>
      <c r="E902" s="1" t="s">
        <v>73</v>
      </c>
      <c r="F902" s="1" t="s">
        <v>15</v>
      </c>
      <c r="G902" s="1">
        <v>73</v>
      </c>
      <c r="H902" s="1">
        <v>68</v>
      </c>
      <c r="I902" s="1">
        <v>72</v>
      </c>
    </row>
    <row r="903" spans="1:9" x14ac:dyDescent="0.25">
      <c r="A903" s="2" t="s">
        <v>2</v>
      </c>
      <c r="B903" s="1" t="s">
        <v>12</v>
      </c>
      <c r="C903" s="77" t="s">
        <v>42</v>
      </c>
      <c r="D903" s="77">
        <f>COUNTIF($C$2:C903,C903)</f>
        <v>203</v>
      </c>
      <c r="E903" s="1" t="s">
        <v>73</v>
      </c>
      <c r="F903" s="1" t="s">
        <v>15</v>
      </c>
      <c r="G903" s="1">
        <v>77</v>
      </c>
      <c r="H903" s="1">
        <v>77</v>
      </c>
      <c r="I903" s="1">
        <v>77</v>
      </c>
    </row>
    <row r="904" spans="1:9" x14ac:dyDescent="0.25">
      <c r="A904" s="2" t="s">
        <v>2</v>
      </c>
      <c r="B904" s="1" t="s">
        <v>12</v>
      </c>
      <c r="C904" s="77" t="s">
        <v>42</v>
      </c>
      <c r="D904" s="77">
        <f>COUNTIF($C$2:C904,C904)</f>
        <v>204</v>
      </c>
      <c r="E904" s="1" t="s">
        <v>73</v>
      </c>
      <c r="F904" s="1" t="s">
        <v>15</v>
      </c>
      <c r="G904" s="1">
        <v>56</v>
      </c>
      <c r="H904" s="1">
        <v>61</v>
      </c>
      <c r="I904" s="1">
        <v>62</v>
      </c>
    </row>
    <row r="905" spans="1:9" x14ac:dyDescent="0.25">
      <c r="A905" s="2" t="s">
        <v>2</v>
      </c>
      <c r="B905" s="1" t="s">
        <v>12</v>
      </c>
      <c r="C905" s="77" t="s">
        <v>42</v>
      </c>
      <c r="D905" s="77">
        <f>COUNTIF($C$2:C905,C905)</f>
        <v>205</v>
      </c>
      <c r="E905" s="1" t="s">
        <v>73</v>
      </c>
      <c r="F905" s="1" t="s">
        <v>15</v>
      </c>
      <c r="G905" s="1">
        <v>67</v>
      </c>
      <c r="H905" s="1">
        <v>78</v>
      </c>
      <c r="I905" s="1">
        <v>70</v>
      </c>
    </row>
    <row r="906" spans="1:9" x14ac:dyDescent="0.25">
      <c r="A906" s="2" t="s">
        <v>2</v>
      </c>
      <c r="B906" s="1" t="s">
        <v>12</v>
      </c>
      <c r="C906" s="78" t="s">
        <v>52</v>
      </c>
      <c r="D906" s="78">
        <f>COUNTIF($C$2:C906,C906)</f>
        <v>87</v>
      </c>
      <c r="E906" s="1" t="s">
        <v>7</v>
      </c>
      <c r="F906" s="1" t="s">
        <v>14</v>
      </c>
      <c r="G906" s="1">
        <v>39</v>
      </c>
      <c r="H906" s="1">
        <v>45</v>
      </c>
      <c r="I906" s="1">
        <v>36</v>
      </c>
    </row>
    <row r="907" spans="1:9" x14ac:dyDescent="0.25">
      <c r="A907" s="2" t="s">
        <v>2</v>
      </c>
      <c r="B907" s="1" t="s">
        <v>12</v>
      </c>
      <c r="C907" s="78" t="s">
        <v>52</v>
      </c>
      <c r="D907" s="78">
        <f>COUNTIF($C$2:C907,C907)</f>
        <v>88</v>
      </c>
      <c r="E907" s="1" t="s">
        <v>7</v>
      </c>
      <c r="F907" s="1" t="s">
        <v>14</v>
      </c>
      <c r="G907" s="1">
        <v>76</v>
      </c>
      <c r="H907" s="1">
        <v>65</v>
      </c>
      <c r="I907" s="1">
        <v>70</v>
      </c>
    </row>
    <row r="908" spans="1:9" x14ac:dyDescent="0.25">
      <c r="A908" s="2" t="s">
        <v>2</v>
      </c>
      <c r="B908" s="1" t="s">
        <v>12</v>
      </c>
      <c r="C908" s="78" t="s">
        <v>52</v>
      </c>
      <c r="D908" s="78">
        <f>COUNTIF($C$2:C908,C908)</f>
        <v>89</v>
      </c>
      <c r="E908" s="1" t="s">
        <v>7</v>
      </c>
      <c r="F908" s="1" t="s">
        <v>14</v>
      </c>
      <c r="G908" s="1">
        <v>63</v>
      </c>
      <c r="H908" s="1">
        <v>65</v>
      </c>
      <c r="I908" s="1">
        <v>58</v>
      </c>
    </row>
    <row r="909" spans="1:9" x14ac:dyDescent="0.25">
      <c r="A909" s="2" t="s">
        <v>2</v>
      </c>
      <c r="B909" s="1" t="s">
        <v>12</v>
      </c>
      <c r="C909" s="78" t="s">
        <v>52</v>
      </c>
      <c r="D909" s="78">
        <f>COUNTIF($C$2:C909,C909)</f>
        <v>90</v>
      </c>
      <c r="E909" s="1" t="s">
        <v>7</v>
      </c>
      <c r="F909" s="1" t="s">
        <v>14</v>
      </c>
      <c r="G909" s="1">
        <v>74</v>
      </c>
      <c r="H909" s="1">
        <v>76</v>
      </c>
      <c r="I909" s="1">
        <v>73</v>
      </c>
    </row>
    <row r="910" spans="1:9" x14ac:dyDescent="0.25">
      <c r="A910" s="2" t="s">
        <v>2</v>
      </c>
      <c r="B910" s="1" t="s">
        <v>12</v>
      </c>
      <c r="C910" s="78" t="s">
        <v>52</v>
      </c>
      <c r="D910" s="78">
        <f>COUNTIF($C$2:C910,C910)</f>
        <v>91</v>
      </c>
      <c r="E910" s="1" t="s">
        <v>7</v>
      </c>
      <c r="F910" s="1" t="s">
        <v>14</v>
      </c>
      <c r="G910" s="1">
        <v>71</v>
      </c>
      <c r="H910" s="1">
        <v>67</v>
      </c>
      <c r="I910" s="1">
        <v>64</v>
      </c>
    </row>
    <row r="911" spans="1:9" x14ac:dyDescent="0.25">
      <c r="A911" s="2" t="s">
        <v>2</v>
      </c>
      <c r="B911" s="1" t="s">
        <v>12</v>
      </c>
      <c r="C911" s="78" t="s">
        <v>52</v>
      </c>
      <c r="D911" s="78">
        <f>COUNTIF($C$2:C911,C911)</f>
        <v>92</v>
      </c>
      <c r="E911" s="1" t="s">
        <v>7</v>
      </c>
      <c r="F911" s="1" t="s">
        <v>14</v>
      </c>
      <c r="G911" s="1">
        <v>55</v>
      </c>
      <c r="H911" s="1">
        <v>35</v>
      </c>
      <c r="I911" s="1">
        <v>43</v>
      </c>
    </row>
    <row r="912" spans="1:9" x14ac:dyDescent="0.25">
      <c r="A912" s="2" t="s">
        <v>2</v>
      </c>
      <c r="B912" s="1" t="s">
        <v>12</v>
      </c>
      <c r="C912" s="78" t="s">
        <v>52</v>
      </c>
      <c r="D912" s="78">
        <f>COUNTIF($C$2:C912,C912)</f>
        <v>93</v>
      </c>
      <c r="E912" s="1" t="s">
        <v>7</v>
      </c>
      <c r="F912" s="1" t="s">
        <v>14</v>
      </c>
      <c r="G912" s="1">
        <v>64</v>
      </c>
      <c r="H912" s="1">
        <v>63</v>
      </c>
      <c r="I912" s="1">
        <v>64</v>
      </c>
    </row>
    <row r="913" spans="1:9" x14ac:dyDescent="0.25">
      <c r="A913" s="2" t="s">
        <v>2</v>
      </c>
      <c r="B913" s="1" t="s">
        <v>12</v>
      </c>
      <c r="C913" s="78" t="s">
        <v>52</v>
      </c>
      <c r="D913" s="78">
        <f>COUNTIF($C$2:C913,C913)</f>
        <v>94</v>
      </c>
      <c r="E913" s="1" t="s">
        <v>7</v>
      </c>
      <c r="F913" s="1" t="s">
        <v>15</v>
      </c>
      <c r="G913" s="1">
        <v>100</v>
      </c>
      <c r="H913" s="1">
        <v>100</v>
      </c>
      <c r="I913" s="1">
        <v>100</v>
      </c>
    </row>
    <row r="914" spans="1:9" x14ac:dyDescent="0.25">
      <c r="A914" s="2" t="s">
        <v>2</v>
      </c>
      <c r="B914" s="1" t="s">
        <v>12</v>
      </c>
      <c r="C914" s="78" t="s">
        <v>52</v>
      </c>
      <c r="D914" s="78">
        <f>COUNTIF($C$2:C914,C914)</f>
        <v>95</v>
      </c>
      <c r="E914" s="1" t="s">
        <v>7</v>
      </c>
      <c r="F914" s="1" t="s">
        <v>15</v>
      </c>
      <c r="G914" s="1">
        <v>98</v>
      </c>
      <c r="H914" s="1">
        <v>96</v>
      </c>
      <c r="I914" s="1">
        <v>100</v>
      </c>
    </row>
    <row r="915" spans="1:9" x14ac:dyDescent="0.25">
      <c r="A915" s="2" t="s">
        <v>2</v>
      </c>
      <c r="B915" s="1" t="s">
        <v>12</v>
      </c>
      <c r="C915" s="78" t="s">
        <v>52</v>
      </c>
      <c r="D915" s="78">
        <f>COUNTIF($C$2:C915,C915)</f>
        <v>96</v>
      </c>
      <c r="E915" s="1" t="s">
        <v>7</v>
      </c>
      <c r="F915" s="1" t="s">
        <v>15</v>
      </c>
      <c r="G915" s="1">
        <v>97</v>
      </c>
      <c r="H915" s="1">
        <v>91</v>
      </c>
      <c r="I915" s="1">
        <v>96</v>
      </c>
    </row>
    <row r="916" spans="1:9" x14ac:dyDescent="0.25">
      <c r="A916" s="2" t="s">
        <v>2</v>
      </c>
      <c r="B916" s="1" t="s">
        <v>12</v>
      </c>
      <c r="C916" s="78" t="s">
        <v>52</v>
      </c>
      <c r="D916" s="78">
        <f>COUNTIF($C$2:C916,C916)</f>
        <v>97</v>
      </c>
      <c r="E916" s="1" t="s">
        <v>73</v>
      </c>
      <c r="F916" s="1" t="s">
        <v>14</v>
      </c>
      <c r="G916" s="1">
        <v>72</v>
      </c>
      <c r="H916" s="1">
        <v>71</v>
      </c>
      <c r="I916" s="1">
        <v>65</v>
      </c>
    </row>
    <row r="917" spans="1:9" x14ac:dyDescent="0.25">
      <c r="A917" s="2" t="s">
        <v>2</v>
      </c>
      <c r="B917" s="1" t="s">
        <v>12</v>
      </c>
      <c r="C917" s="78" t="s">
        <v>52</v>
      </c>
      <c r="D917" s="78">
        <f>COUNTIF($C$2:C917,C917)</f>
        <v>98</v>
      </c>
      <c r="E917" s="1" t="s">
        <v>73</v>
      </c>
      <c r="F917" s="1" t="s">
        <v>14</v>
      </c>
      <c r="G917" s="1">
        <v>63</v>
      </c>
      <c r="H917" s="1">
        <v>59</v>
      </c>
      <c r="I917" s="1">
        <v>51</v>
      </c>
    </row>
    <row r="918" spans="1:9" x14ac:dyDescent="0.25">
      <c r="A918" s="2" t="s">
        <v>2</v>
      </c>
      <c r="B918" s="1" t="s">
        <v>12</v>
      </c>
      <c r="C918" s="78" t="s">
        <v>52</v>
      </c>
      <c r="D918" s="78">
        <f>COUNTIF($C$2:C918,C918)</f>
        <v>99</v>
      </c>
      <c r="E918" s="1" t="s">
        <v>73</v>
      </c>
      <c r="F918" s="1" t="s">
        <v>14</v>
      </c>
      <c r="G918" s="1">
        <v>85</v>
      </c>
      <c r="H918" s="1">
        <v>78</v>
      </c>
      <c r="I918" s="1">
        <v>81</v>
      </c>
    </row>
    <row r="919" spans="1:9" x14ac:dyDescent="0.25">
      <c r="A919" s="2" t="s">
        <v>2</v>
      </c>
      <c r="B919" s="1" t="s">
        <v>12</v>
      </c>
      <c r="C919" s="79" t="s">
        <v>59</v>
      </c>
      <c r="D919" s="79">
        <f>COUNTIF($C$2:C919,C919)</f>
        <v>57</v>
      </c>
      <c r="E919" s="1" t="s">
        <v>7</v>
      </c>
      <c r="F919" s="1" t="s">
        <v>14</v>
      </c>
      <c r="G919" s="1">
        <v>100</v>
      </c>
      <c r="H919" s="1">
        <v>97</v>
      </c>
      <c r="I919" s="1">
        <v>91</v>
      </c>
    </row>
    <row r="920" spans="1:9" x14ac:dyDescent="0.25">
      <c r="A920" s="2" t="s">
        <v>2</v>
      </c>
      <c r="B920" s="1" t="s">
        <v>12</v>
      </c>
      <c r="C920" s="79" t="s">
        <v>59</v>
      </c>
      <c r="D920" s="79">
        <f>COUNTIF($C$2:C920,C920)</f>
        <v>58</v>
      </c>
      <c r="E920" s="1" t="s">
        <v>7</v>
      </c>
      <c r="F920" s="1" t="s">
        <v>14</v>
      </c>
      <c r="G920" s="1">
        <v>82</v>
      </c>
      <c r="H920" s="1">
        <v>84</v>
      </c>
      <c r="I920" s="1">
        <v>81</v>
      </c>
    </row>
    <row r="921" spans="1:9" x14ac:dyDescent="0.25">
      <c r="A921" s="2" t="s">
        <v>2</v>
      </c>
      <c r="B921" s="1" t="s">
        <v>12</v>
      </c>
      <c r="C921" s="79" t="s">
        <v>59</v>
      </c>
      <c r="D921" s="79">
        <f>COUNTIF($C$2:C921,C921)</f>
        <v>59</v>
      </c>
      <c r="E921" s="1" t="s">
        <v>7</v>
      </c>
      <c r="F921" s="1" t="s">
        <v>14</v>
      </c>
      <c r="G921" s="1">
        <v>71</v>
      </c>
      <c r="H921" s="1">
        <v>61</v>
      </c>
      <c r="I921" s="1">
        <v>63</v>
      </c>
    </row>
    <row r="922" spans="1:9" x14ac:dyDescent="0.25">
      <c r="A922" s="2" t="s">
        <v>2</v>
      </c>
      <c r="B922" s="1" t="s">
        <v>12</v>
      </c>
      <c r="C922" s="79" t="s">
        <v>59</v>
      </c>
      <c r="D922" s="79">
        <f>COUNTIF($C$2:C922,C922)</f>
        <v>60</v>
      </c>
      <c r="E922" s="1" t="s">
        <v>7</v>
      </c>
      <c r="F922" s="1" t="s">
        <v>14</v>
      </c>
      <c r="G922" s="1">
        <v>70</v>
      </c>
      <c r="H922" s="1">
        <v>65</v>
      </c>
      <c r="I922" s="1">
        <v>56</v>
      </c>
    </row>
    <row r="923" spans="1:9" x14ac:dyDescent="0.25">
      <c r="A923" s="2" t="s">
        <v>2</v>
      </c>
      <c r="B923" s="1" t="s">
        <v>12</v>
      </c>
      <c r="C923" s="79" t="s">
        <v>59</v>
      </c>
      <c r="D923" s="79">
        <f>COUNTIF($C$2:C923,C923)</f>
        <v>61</v>
      </c>
      <c r="E923" s="1" t="s">
        <v>7</v>
      </c>
      <c r="F923" s="1" t="s">
        <v>14</v>
      </c>
      <c r="G923" s="1">
        <v>88</v>
      </c>
      <c r="H923" s="1">
        <v>72</v>
      </c>
      <c r="I923" s="1">
        <v>78</v>
      </c>
    </row>
    <row r="924" spans="1:9" x14ac:dyDescent="0.25">
      <c r="A924" s="2" t="s">
        <v>2</v>
      </c>
      <c r="B924" s="1" t="s">
        <v>12</v>
      </c>
      <c r="C924" s="79" t="s">
        <v>59</v>
      </c>
      <c r="D924" s="79">
        <f>COUNTIF($C$2:C924,C924)</f>
        <v>62</v>
      </c>
      <c r="E924" s="1" t="s">
        <v>73</v>
      </c>
      <c r="F924" s="1" t="s">
        <v>14</v>
      </c>
      <c r="G924" s="1">
        <v>83</v>
      </c>
      <c r="H924" s="1">
        <v>86</v>
      </c>
      <c r="I924" s="1">
        <v>87</v>
      </c>
    </row>
    <row r="925" spans="1:9" x14ac:dyDescent="0.25">
      <c r="A925" s="2" t="s">
        <v>2</v>
      </c>
      <c r="B925" s="1" t="s">
        <v>12</v>
      </c>
      <c r="C925" s="79" t="s">
        <v>59</v>
      </c>
      <c r="D925" s="79">
        <f>COUNTIF($C$2:C925,C925)</f>
        <v>63</v>
      </c>
      <c r="E925" s="1" t="s">
        <v>73</v>
      </c>
      <c r="F925" s="1" t="s">
        <v>14</v>
      </c>
      <c r="G925" s="1">
        <v>75</v>
      </c>
      <c r="H925" s="1">
        <v>65</v>
      </c>
      <c r="I925" s="1">
        <v>65</v>
      </c>
    </row>
    <row r="926" spans="1:9" x14ac:dyDescent="0.25">
      <c r="A926" s="2" t="s">
        <v>2</v>
      </c>
      <c r="B926" s="1" t="s">
        <v>12</v>
      </c>
      <c r="C926" s="79" t="s">
        <v>59</v>
      </c>
      <c r="D926" s="79">
        <f>COUNTIF($C$2:C926,C926)</f>
        <v>64</v>
      </c>
      <c r="E926" s="1" t="s">
        <v>73</v>
      </c>
      <c r="F926" s="1" t="s">
        <v>15</v>
      </c>
      <c r="G926" s="1">
        <v>91</v>
      </c>
      <c r="H926" s="1">
        <v>93</v>
      </c>
      <c r="I926" s="1">
        <v>95</v>
      </c>
    </row>
    <row r="927" spans="1:9" x14ac:dyDescent="0.25">
      <c r="A927" s="2" t="s">
        <v>2</v>
      </c>
      <c r="B927" s="1" t="s">
        <v>12</v>
      </c>
      <c r="C927" s="79" t="s">
        <v>59</v>
      </c>
      <c r="D927" s="79">
        <f>COUNTIF($C$2:C927,C927)</f>
        <v>65</v>
      </c>
      <c r="E927" s="1" t="s">
        <v>73</v>
      </c>
      <c r="F927" s="1" t="s">
        <v>15</v>
      </c>
      <c r="G927" s="1">
        <v>67</v>
      </c>
      <c r="H927" s="1">
        <v>71</v>
      </c>
      <c r="I927" s="1">
        <v>70</v>
      </c>
    </row>
    <row r="928" spans="1:9" x14ac:dyDescent="0.25">
      <c r="A928" s="2" t="s">
        <v>2</v>
      </c>
      <c r="B928" s="1" t="s">
        <v>12</v>
      </c>
      <c r="C928" s="79" t="s">
        <v>59</v>
      </c>
      <c r="D928" s="79">
        <f>COUNTIF($C$2:C928,C928)</f>
        <v>66</v>
      </c>
      <c r="E928" s="1" t="s">
        <v>73</v>
      </c>
      <c r="F928" s="1" t="s">
        <v>15</v>
      </c>
      <c r="G928" s="1">
        <v>75</v>
      </c>
      <c r="H928" s="1">
        <v>70</v>
      </c>
      <c r="I928" s="1">
        <v>76</v>
      </c>
    </row>
    <row r="929" spans="1:9" x14ac:dyDescent="0.25">
      <c r="A929" s="2" t="s">
        <v>2</v>
      </c>
      <c r="B929" s="1" t="s">
        <v>19</v>
      </c>
      <c r="C929" s="74" t="s">
        <v>53</v>
      </c>
      <c r="D929" s="74">
        <f>COUNTIF($C$2:C929,C929)</f>
        <v>166</v>
      </c>
      <c r="E929" s="1" t="s">
        <v>7</v>
      </c>
      <c r="F929" s="1" t="s">
        <v>14</v>
      </c>
      <c r="G929" s="1">
        <v>94</v>
      </c>
      <c r="H929" s="1">
        <v>86</v>
      </c>
      <c r="I929" s="1">
        <v>82</v>
      </c>
    </row>
    <row r="930" spans="1:9" x14ac:dyDescent="0.25">
      <c r="A930" s="2" t="s">
        <v>2</v>
      </c>
      <c r="B930" s="1" t="s">
        <v>19</v>
      </c>
      <c r="C930" s="74" t="s">
        <v>53</v>
      </c>
      <c r="D930" s="74">
        <f>COUNTIF($C$2:C930,C930)</f>
        <v>167</v>
      </c>
      <c r="E930" s="1" t="s">
        <v>7</v>
      </c>
      <c r="F930" s="1" t="s">
        <v>14</v>
      </c>
      <c r="G930" s="1">
        <v>77</v>
      </c>
      <c r="H930" s="1">
        <v>62</v>
      </c>
      <c r="I930" s="1">
        <v>57</v>
      </c>
    </row>
    <row r="931" spans="1:9" x14ac:dyDescent="0.25">
      <c r="A931" s="2" t="s">
        <v>2</v>
      </c>
      <c r="B931" s="1" t="s">
        <v>19</v>
      </c>
      <c r="C931" s="74" t="s">
        <v>53</v>
      </c>
      <c r="D931" s="74">
        <f>COUNTIF($C$2:C931,C931)</f>
        <v>168</v>
      </c>
      <c r="E931" s="1" t="s">
        <v>7</v>
      </c>
      <c r="F931" s="1" t="s">
        <v>14</v>
      </c>
      <c r="G931" s="1">
        <v>75</v>
      </c>
      <c r="H931" s="1">
        <v>71</v>
      </c>
      <c r="I931" s="1">
        <v>68</v>
      </c>
    </row>
    <row r="932" spans="1:9" x14ac:dyDescent="0.25">
      <c r="A932" s="2" t="s">
        <v>2</v>
      </c>
      <c r="B932" s="1" t="s">
        <v>19</v>
      </c>
      <c r="C932" s="74" t="s">
        <v>53</v>
      </c>
      <c r="D932" s="74">
        <f>COUNTIF($C$2:C932,C932)</f>
        <v>169</v>
      </c>
      <c r="E932" s="1" t="s">
        <v>7</v>
      </c>
      <c r="F932" s="1" t="s">
        <v>14</v>
      </c>
      <c r="G932" s="1">
        <v>74</v>
      </c>
      <c r="H932" s="1">
        <v>60</v>
      </c>
      <c r="I932" s="1">
        <v>59</v>
      </c>
    </row>
    <row r="933" spans="1:9" x14ac:dyDescent="0.25">
      <c r="A933" s="2" t="s">
        <v>2</v>
      </c>
      <c r="B933" s="1" t="s">
        <v>19</v>
      </c>
      <c r="C933" s="74" t="s">
        <v>53</v>
      </c>
      <c r="D933" s="74">
        <f>COUNTIF($C$2:C933,C933)</f>
        <v>170</v>
      </c>
      <c r="E933" s="1" t="s">
        <v>7</v>
      </c>
      <c r="F933" s="1" t="s">
        <v>14</v>
      </c>
      <c r="G933" s="1">
        <v>66</v>
      </c>
      <c r="H933" s="1">
        <v>63</v>
      </c>
      <c r="I933" s="1">
        <v>60</v>
      </c>
    </row>
    <row r="934" spans="1:9" x14ac:dyDescent="0.25">
      <c r="A934" s="2" t="s">
        <v>2</v>
      </c>
      <c r="B934" s="1" t="s">
        <v>19</v>
      </c>
      <c r="C934" s="74" t="s">
        <v>53</v>
      </c>
      <c r="D934" s="74">
        <f>COUNTIF($C$2:C934,C934)</f>
        <v>171</v>
      </c>
      <c r="E934" s="1" t="s">
        <v>7</v>
      </c>
      <c r="F934" s="1" t="s">
        <v>14</v>
      </c>
      <c r="G934" s="1">
        <v>73</v>
      </c>
      <c r="H934" s="1">
        <v>62</v>
      </c>
      <c r="I934" s="1">
        <v>59</v>
      </c>
    </row>
    <row r="935" spans="1:9" x14ac:dyDescent="0.25">
      <c r="A935" s="2" t="s">
        <v>2</v>
      </c>
      <c r="B935" s="1" t="s">
        <v>19</v>
      </c>
      <c r="C935" s="74" t="s">
        <v>53</v>
      </c>
      <c r="D935" s="74">
        <f>COUNTIF($C$2:C935,C935)</f>
        <v>172</v>
      </c>
      <c r="E935" s="1" t="s">
        <v>7</v>
      </c>
      <c r="F935" s="1" t="s">
        <v>14</v>
      </c>
      <c r="G935" s="1">
        <v>94</v>
      </c>
      <c r="H935" s="1">
        <v>75</v>
      </c>
      <c r="I935" s="1">
        <v>75</v>
      </c>
    </row>
    <row r="936" spans="1:9" x14ac:dyDescent="0.25">
      <c r="A936" s="2" t="s">
        <v>2</v>
      </c>
      <c r="B936" s="1" t="s">
        <v>19</v>
      </c>
      <c r="C936" s="74" t="s">
        <v>53</v>
      </c>
      <c r="D936" s="74">
        <f>COUNTIF($C$2:C936,C936)</f>
        <v>173</v>
      </c>
      <c r="E936" s="1" t="s">
        <v>7</v>
      </c>
      <c r="F936" s="1" t="s">
        <v>14</v>
      </c>
      <c r="G936" s="1">
        <v>92</v>
      </c>
      <c r="H936" s="1">
        <v>80</v>
      </c>
      <c r="I936" s="1">
        <v>78</v>
      </c>
    </row>
    <row r="937" spans="1:9" x14ac:dyDescent="0.25">
      <c r="A937" s="2" t="s">
        <v>2</v>
      </c>
      <c r="B937" s="1" t="s">
        <v>19</v>
      </c>
      <c r="C937" s="74" t="s">
        <v>53</v>
      </c>
      <c r="D937" s="74">
        <f>COUNTIF($C$2:C937,C937)</f>
        <v>174</v>
      </c>
      <c r="E937" s="1" t="s">
        <v>7</v>
      </c>
      <c r="F937" s="1" t="s">
        <v>15</v>
      </c>
      <c r="G937" s="1">
        <v>87</v>
      </c>
      <c r="H937" s="1">
        <v>83</v>
      </c>
      <c r="I937" s="1">
        <v>80</v>
      </c>
    </row>
    <row r="938" spans="1:9" x14ac:dyDescent="0.25">
      <c r="A938" s="2" t="s">
        <v>2</v>
      </c>
      <c r="B938" s="1" t="s">
        <v>19</v>
      </c>
      <c r="C938" s="74" t="s">
        <v>53</v>
      </c>
      <c r="D938" s="74">
        <f>COUNTIF($C$2:C938,C938)</f>
        <v>175</v>
      </c>
      <c r="E938" s="1" t="s">
        <v>73</v>
      </c>
      <c r="F938" s="1" t="s">
        <v>14</v>
      </c>
      <c r="G938" s="1">
        <v>57</v>
      </c>
      <c r="H938" s="1">
        <v>45</v>
      </c>
      <c r="I938" s="1">
        <v>46</v>
      </c>
    </row>
    <row r="939" spans="1:9" x14ac:dyDescent="0.25">
      <c r="A939" s="2" t="s">
        <v>2</v>
      </c>
      <c r="B939" s="1" t="s">
        <v>19</v>
      </c>
      <c r="C939" s="74" t="s">
        <v>53</v>
      </c>
      <c r="D939" s="74">
        <f>COUNTIF($C$2:C939,C939)</f>
        <v>176</v>
      </c>
      <c r="E939" s="1" t="s">
        <v>73</v>
      </c>
      <c r="F939" s="1" t="s">
        <v>14</v>
      </c>
      <c r="G939" s="1">
        <v>66</v>
      </c>
      <c r="H939" s="1">
        <v>60</v>
      </c>
      <c r="I939" s="1">
        <v>59</v>
      </c>
    </row>
    <row r="940" spans="1:9" x14ac:dyDescent="0.25">
      <c r="A940" s="2" t="s">
        <v>2</v>
      </c>
      <c r="B940" s="1" t="s">
        <v>19</v>
      </c>
      <c r="C940" s="74" t="s">
        <v>53</v>
      </c>
      <c r="D940" s="74">
        <f>COUNTIF($C$2:C940,C940)</f>
        <v>177</v>
      </c>
      <c r="E940" s="1" t="s">
        <v>73</v>
      </c>
      <c r="F940" s="1" t="s">
        <v>14</v>
      </c>
      <c r="G940" s="1">
        <v>47</v>
      </c>
      <c r="H940" s="1">
        <v>54</v>
      </c>
      <c r="I940" s="1">
        <v>48</v>
      </c>
    </row>
    <row r="941" spans="1:9" x14ac:dyDescent="0.25">
      <c r="A941" s="2" t="s">
        <v>2</v>
      </c>
      <c r="B941" s="1" t="s">
        <v>19</v>
      </c>
      <c r="C941" s="75" t="s">
        <v>6</v>
      </c>
      <c r="D941" s="75">
        <f>COUNTIF($C$2:C941,C941)</f>
        <v>202</v>
      </c>
      <c r="E941" s="1" t="s">
        <v>7</v>
      </c>
      <c r="F941" s="1" t="s">
        <v>14</v>
      </c>
      <c r="G941" s="1">
        <v>81</v>
      </c>
      <c r="H941" s="1">
        <v>70</v>
      </c>
      <c r="I941" s="1">
        <v>70</v>
      </c>
    </row>
    <row r="942" spans="1:9" x14ac:dyDescent="0.25">
      <c r="A942" s="2" t="s">
        <v>2</v>
      </c>
      <c r="B942" s="1" t="s">
        <v>19</v>
      </c>
      <c r="C942" s="75" t="s">
        <v>6</v>
      </c>
      <c r="D942" s="75">
        <f>COUNTIF($C$2:C942,C942)</f>
        <v>203</v>
      </c>
      <c r="E942" s="1" t="s">
        <v>7</v>
      </c>
      <c r="F942" s="1" t="s">
        <v>14</v>
      </c>
      <c r="G942" s="1">
        <v>100</v>
      </c>
      <c r="H942" s="1">
        <v>91</v>
      </c>
      <c r="I942" s="1">
        <v>85</v>
      </c>
    </row>
    <row r="943" spans="1:9" x14ac:dyDescent="0.25">
      <c r="A943" s="2" t="s">
        <v>2</v>
      </c>
      <c r="B943" s="1" t="s">
        <v>19</v>
      </c>
      <c r="C943" s="75" t="s">
        <v>6</v>
      </c>
      <c r="D943" s="75">
        <f>COUNTIF($C$2:C943,C943)</f>
        <v>204</v>
      </c>
      <c r="E943" s="1" t="s">
        <v>7</v>
      </c>
      <c r="F943" s="1" t="s">
        <v>14</v>
      </c>
      <c r="G943" s="1">
        <v>96</v>
      </c>
      <c r="H943" s="1">
        <v>94</v>
      </c>
      <c r="I943" s="1">
        <v>93</v>
      </c>
    </row>
    <row r="944" spans="1:9" x14ac:dyDescent="0.25">
      <c r="A944" s="2" t="s">
        <v>2</v>
      </c>
      <c r="B944" s="1" t="s">
        <v>19</v>
      </c>
      <c r="C944" s="75" t="s">
        <v>6</v>
      </c>
      <c r="D944" s="75">
        <f>COUNTIF($C$2:C944,C944)</f>
        <v>205</v>
      </c>
      <c r="E944" s="1" t="s">
        <v>7</v>
      </c>
      <c r="F944" s="1" t="s">
        <v>14</v>
      </c>
      <c r="G944" s="1">
        <v>90</v>
      </c>
      <c r="H944" s="1">
        <v>80</v>
      </c>
      <c r="I944" s="1">
        <v>78</v>
      </c>
    </row>
    <row r="945" spans="1:9" x14ac:dyDescent="0.25">
      <c r="A945" s="2" t="s">
        <v>2</v>
      </c>
      <c r="B945" s="1" t="s">
        <v>19</v>
      </c>
      <c r="C945" s="75" t="s">
        <v>6</v>
      </c>
      <c r="D945" s="75">
        <f>COUNTIF($C$2:C945,C945)</f>
        <v>206</v>
      </c>
      <c r="E945" s="1" t="s">
        <v>7</v>
      </c>
      <c r="F945" s="1" t="s">
        <v>14</v>
      </c>
      <c r="G945" s="1">
        <v>93</v>
      </c>
      <c r="H945" s="1">
        <v>86</v>
      </c>
      <c r="I945" s="1">
        <v>76</v>
      </c>
    </row>
    <row r="946" spans="1:9" x14ac:dyDescent="0.25">
      <c r="A946" s="2" t="s">
        <v>2</v>
      </c>
      <c r="B946" s="1" t="s">
        <v>19</v>
      </c>
      <c r="C946" s="75" t="s">
        <v>6</v>
      </c>
      <c r="D946" s="75">
        <f>COUNTIF($C$2:C946,C946)</f>
        <v>207</v>
      </c>
      <c r="E946" s="1" t="s">
        <v>7</v>
      </c>
      <c r="F946" s="1" t="s">
        <v>14</v>
      </c>
      <c r="G946" s="1">
        <v>87</v>
      </c>
      <c r="H946" s="1">
        <v>84</v>
      </c>
      <c r="I946" s="1">
        <v>76</v>
      </c>
    </row>
    <row r="947" spans="1:9" x14ac:dyDescent="0.25">
      <c r="A947" s="2" t="s">
        <v>2</v>
      </c>
      <c r="B947" s="1" t="s">
        <v>19</v>
      </c>
      <c r="C947" s="75" t="s">
        <v>6</v>
      </c>
      <c r="D947" s="75">
        <f>COUNTIF($C$2:C947,C947)</f>
        <v>208</v>
      </c>
      <c r="E947" s="1" t="s">
        <v>7</v>
      </c>
      <c r="F947" s="1" t="s">
        <v>14</v>
      </c>
      <c r="G947" s="1">
        <v>80</v>
      </c>
      <c r="H947" s="1">
        <v>72</v>
      </c>
      <c r="I947" s="1">
        <v>62</v>
      </c>
    </row>
    <row r="948" spans="1:9" x14ac:dyDescent="0.25">
      <c r="A948" s="2" t="s">
        <v>2</v>
      </c>
      <c r="B948" s="1" t="s">
        <v>19</v>
      </c>
      <c r="C948" s="75" t="s">
        <v>6</v>
      </c>
      <c r="D948" s="75">
        <f>COUNTIF($C$2:C948,C948)</f>
        <v>209</v>
      </c>
      <c r="E948" s="1" t="s">
        <v>7</v>
      </c>
      <c r="F948" s="1" t="s">
        <v>15</v>
      </c>
      <c r="G948" s="1">
        <v>83</v>
      </c>
      <c r="H948" s="1">
        <v>80</v>
      </c>
      <c r="I948" s="1">
        <v>82</v>
      </c>
    </row>
    <row r="949" spans="1:9" x14ac:dyDescent="0.25">
      <c r="A949" s="2" t="s">
        <v>2</v>
      </c>
      <c r="B949" s="1" t="s">
        <v>19</v>
      </c>
      <c r="C949" s="75" t="s">
        <v>6</v>
      </c>
      <c r="D949" s="75">
        <f>COUNTIF($C$2:C949,C949)</f>
        <v>210</v>
      </c>
      <c r="E949" s="1" t="s">
        <v>7</v>
      </c>
      <c r="F949" s="1" t="s">
        <v>15</v>
      </c>
      <c r="G949" s="1">
        <v>84</v>
      </c>
      <c r="H949" s="1">
        <v>79</v>
      </c>
      <c r="I949" s="1">
        <v>75</v>
      </c>
    </row>
    <row r="950" spans="1:9" x14ac:dyDescent="0.25">
      <c r="A950" s="2" t="s">
        <v>2</v>
      </c>
      <c r="B950" s="1" t="s">
        <v>19</v>
      </c>
      <c r="C950" s="75" t="s">
        <v>6</v>
      </c>
      <c r="D950" s="75">
        <f>COUNTIF($C$2:C950,C950)</f>
        <v>211</v>
      </c>
      <c r="E950" s="1" t="s">
        <v>73</v>
      </c>
      <c r="F950" s="1" t="s">
        <v>14</v>
      </c>
      <c r="G950" s="1">
        <v>81</v>
      </c>
      <c r="H950" s="1">
        <v>84</v>
      </c>
      <c r="I950" s="1">
        <v>78</v>
      </c>
    </row>
    <row r="951" spans="1:9" x14ac:dyDescent="0.25">
      <c r="A951" s="2" t="s">
        <v>2</v>
      </c>
      <c r="B951" s="1" t="s">
        <v>19</v>
      </c>
      <c r="C951" s="75" t="s">
        <v>6</v>
      </c>
      <c r="D951" s="75">
        <f>COUNTIF($C$2:C951,C951)</f>
        <v>212</v>
      </c>
      <c r="E951" s="1" t="s">
        <v>73</v>
      </c>
      <c r="F951" s="1" t="s">
        <v>14</v>
      </c>
      <c r="G951" s="1">
        <v>59</v>
      </c>
      <c r="H951" s="1">
        <v>55</v>
      </c>
      <c r="I951" s="1">
        <v>46</v>
      </c>
    </row>
    <row r="952" spans="1:9" x14ac:dyDescent="0.25">
      <c r="A952" s="2" t="s">
        <v>2</v>
      </c>
      <c r="B952" s="1" t="s">
        <v>19</v>
      </c>
      <c r="C952" s="75" t="s">
        <v>6</v>
      </c>
      <c r="D952" s="75">
        <f>COUNTIF($C$2:C952,C952)</f>
        <v>213</v>
      </c>
      <c r="E952" s="1" t="s">
        <v>73</v>
      </c>
      <c r="F952" s="1" t="s">
        <v>14</v>
      </c>
      <c r="G952" s="1">
        <v>61</v>
      </c>
      <c r="H952" s="1">
        <v>56</v>
      </c>
      <c r="I952" s="1">
        <v>52</v>
      </c>
    </row>
    <row r="953" spans="1:9" x14ac:dyDescent="0.25">
      <c r="A953" s="2" t="s">
        <v>2</v>
      </c>
      <c r="B953" s="1" t="s">
        <v>19</v>
      </c>
      <c r="C953" s="75" t="s">
        <v>6</v>
      </c>
      <c r="D953" s="75">
        <f>COUNTIF($C$2:C953,C953)</f>
        <v>214</v>
      </c>
      <c r="E953" s="1" t="s">
        <v>73</v>
      </c>
      <c r="F953" s="1" t="s">
        <v>15</v>
      </c>
      <c r="G953" s="1">
        <v>76</v>
      </c>
      <c r="H953" s="1">
        <v>61</v>
      </c>
      <c r="I953" s="1">
        <v>61</v>
      </c>
    </row>
    <row r="954" spans="1:9" x14ac:dyDescent="0.25">
      <c r="A954" s="2" t="s">
        <v>2</v>
      </c>
      <c r="B954" s="1" t="s">
        <v>19</v>
      </c>
      <c r="C954" s="75" t="s">
        <v>6</v>
      </c>
      <c r="D954" s="75">
        <f>COUNTIF($C$2:C954,C954)</f>
        <v>215</v>
      </c>
      <c r="E954" s="1" t="s">
        <v>73</v>
      </c>
      <c r="F954" s="1" t="s">
        <v>15</v>
      </c>
      <c r="G954" s="1">
        <v>74</v>
      </c>
      <c r="H954" s="1">
        <v>67</v>
      </c>
      <c r="I954" s="1">
        <v>61</v>
      </c>
    </row>
    <row r="955" spans="1:9" x14ac:dyDescent="0.25">
      <c r="A955" s="2" t="s">
        <v>2</v>
      </c>
      <c r="B955" s="1" t="s">
        <v>19</v>
      </c>
      <c r="C955" s="76" t="s">
        <v>54</v>
      </c>
      <c r="D955" s="76">
        <f>COUNTIF($C$2:C955,C955)</f>
        <v>192</v>
      </c>
      <c r="E955" s="1" t="s">
        <v>7</v>
      </c>
      <c r="F955" s="1" t="s">
        <v>14</v>
      </c>
      <c r="G955" s="1">
        <v>89</v>
      </c>
      <c r="H955" s="1">
        <v>88</v>
      </c>
      <c r="I955" s="1">
        <v>86</v>
      </c>
    </row>
    <row r="956" spans="1:9" x14ac:dyDescent="0.25">
      <c r="A956" s="2" t="s">
        <v>2</v>
      </c>
      <c r="B956" s="1" t="s">
        <v>19</v>
      </c>
      <c r="C956" s="76" t="s">
        <v>54</v>
      </c>
      <c r="D956" s="76">
        <f>COUNTIF($C$2:C956,C956)</f>
        <v>193</v>
      </c>
      <c r="E956" s="1" t="s">
        <v>7</v>
      </c>
      <c r="F956" s="1" t="s">
        <v>14</v>
      </c>
      <c r="G956" s="1">
        <v>83</v>
      </c>
      <c r="H956" s="1">
        <v>83</v>
      </c>
      <c r="I956" s="1">
        <v>78</v>
      </c>
    </row>
    <row r="957" spans="1:9" x14ac:dyDescent="0.25">
      <c r="A957" s="2" t="s">
        <v>2</v>
      </c>
      <c r="B957" s="1" t="s">
        <v>19</v>
      </c>
      <c r="C957" s="76" t="s">
        <v>54</v>
      </c>
      <c r="D957" s="76">
        <f>COUNTIF($C$2:C957,C957)</f>
        <v>194</v>
      </c>
      <c r="E957" s="1" t="s">
        <v>7</v>
      </c>
      <c r="F957" s="1" t="s">
        <v>14</v>
      </c>
      <c r="G957" s="1">
        <v>75</v>
      </c>
      <c r="H957" s="1">
        <v>68</v>
      </c>
      <c r="I957" s="1">
        <v>68</v>
      </c>
    </row>
    <row r="958" spans="1:9" x14ac:dyDescent="0.25">
      <c r="A958" s="2" t="s">
        <v>2</v>
      </c>
      <c r="B958" s="1" t="s">
        <v>19</v>
      </c>
      <c r="C958" s="76" t="s">
        <v>54</v>
      </c>
      <c r="D958" s="76">
        <f>COUNTIF($C$2:C958,C958)</f>
        <v>195</v>
      </c>
      <c r="E958" s="1" t="s">
        <v>7</v>
      </c>
      <c r="F958" s="1" t="s">
        <v>14</v>
      </c>
      <c r="G958" s="1">
        <v>78</v>
      </c>
      <c r="H958" s="1">
        <v>73</v>
      </c>
      <c r="I958" s="1">
        <v>65</v>
      </c>
    </row>
    <row r="959" spans="1:9" x14ac:dyDescent="0.25">
      <c r="A959" s="2" t="s">
        <v>2</v>
      </c>
      <c r="B959" s="1" t="s">
        <v>19</v>
      </c>
      <c r="C959" s="76" t="s">
        <v>54</v>
      </c>
      <c r="D959" s="76">
        <f>COUNTIF($C$2:C959,C959)</f>
        <v>196</v>
      </c>
      <c r="E959" s="1" t="s">
        <v>7</v>
      </c>
      <c r="F959" s="1" t="s">
        <v>14</v>
      </c>
      <c r="G959" s="1">
        <v>56</v>
      </c>
      <c r="H959" s="1">
        <v>44</v>
      </c>
      <c r="I959" s="1">
        <v>44</v>
      </c>
    </row>
    <row r="960" spans="1:9" x14ac:dyDescent="0.25">
      <c r="A960" s="2" t="s">
        <v>2</v>
      </c>
      <c r="B960" s="1" t="s">
        <v>19</v>
      </c>
      <c r="C960" s="76" t="s">
        <v>54</v>
      </c>
      <c r="D960" s="76">
        <f>COUNTIF($C$2:C960,C960)</f>
        <v>197</v>
      </c>
      <c r="E960" s="1" t="s">
        <v>7</v>
      </c>
      <c r="F960" s="1" t="s">
        <v>14</v>
      </c>
      <c r="G960" s="1">
        <v>71</v>
      </c>
      <c r="H960" s="1">
        <v>63</v>
      </c>
      <c r="I960" s="1">
        <v>53</v>
      </c>
    </row>
    <row r="961" spans="1:9" x14ac:dyDescent="0.25">
      <c r="A961" s="2" t="s">
        <v>2</v>
      </c>
      <c r="B961" s="1" t="s">
        <v>19</v>
      </c>
      <c r="C961" s="76" t="s">
        <v>54</v>
      </c>
      <c r="D961" s="76">
        <f>COUNTIF($C$2:C961,C961)</f>
        <v>198</v>
      </c>
      <c r="E961" s="1" t="s">
        <v>7</v>
      </c>
      <c r="F961" s="1" t="s">
        <v>14</v>
      </c>
      <c r="G961" s="1">
        <v>82</v>
      </c>
      <c r="H961" s="1">
        <v>76</v>
      </c>
      <c r="I961" s="1">
        <v>71</v>
      </c>
    </row>
    <row r="962" spans="1:9" x14ac:dyDescent="0.25">
      <c r="A962" s="2" t="s">
        <v>2</v>
      </c>
      <c r="B962" s="1" t="s">
        <v>19</v>
      </c>
      <c r="C962" s="76" t="s">
        <v>54</v>
      </c>
      <c r="D962" s="76">
        <f>COUNTIF($C$2:C962,C962)</f>
        <v>199</v>
      </c>
      <c r="E962" s="1" t="s">
        <v>7</v>
      </c>
      <c r="F962" s="1" t="s">
        <v>15</v>
      </c>
      <c r="G962" s="1">
        <v>93</v>
      </c>
      <c r="H962" s="1">
        <v>87</v>
      </c>
      <c r="I962" s="1">
        <v>84</v>
      </c>
    </row>
    <row r="963" spans="1:9" x14ac:dyDescent="0.25">
      <c r="A963" s="2" t="s">
        <v>2</v>
      </c>
      <c r="B963" s="1" t="s">
        <v>19</v>
      </c>
      <c r="C963" s="76" t="s">
        <v>54</v>
      </c>
      <c r="D963" s="76">
        <f>COUNTIF($C$2:C963,C963)</f>
        <v>200</v>
      </c>
      <c r="E963" s="1" t="s">
        <v>7</v>
      </c>
      <c r="F963" s="1" t="s">
        <v>15</v>
      </c>
      <c r="G963" s="1">
        <v>82</v>
      </c>
      <c r="H963" s="1">
        <v>78</v>
      </c>
      <c r="I963" s="1">
        <v>78</v>
      </c>
    </row>
    <row r="964" spans="1:9" x14ac:dyDescent="0.25">
      <c r="A964" s="2" t="s">
        <v>2</v>
      </c>
      <c r="B964" s="1" t="s">
        <v>19</v>
      </c>
      <c r="C964" s="76" t="s">
        <v>54</v>
      </c>
      <c r="D964" s="76">
        <f>COUNTIF($C$2:C964,C964)</f>
        <v>201</v>
      </c>
      <c r="E964" s="1" t="s">
        <v>7</v>
      </c>
      <c r="F964" s="1" t="s">
        <v>15</v>
      </c>
      <c r="G964" s="1">
        <v>88</v>
      </c>
      <c r="H964" s="1">
        <v>78</v>
      </c>
      <c r="I964" s="1">
        <v>86</v>
      </c>
    </row>
    <row r="965" spans="1:9" x14ac:dyDescent="0.25">
      <c r="A965" s="2" t="s">
        <v>2</v>
      </c>
      <c r="B965" s="1" t="s">
        <v>19</v>
      </c>
      <c r="C965" s="76" t="s">
        <v>54</v>
      </c>
      <c r="D965" s="76">
        <f>COUNTIF($C$2:C965,C965)</f>
        <v>202</v>
      </c>
      <c r="E965" s="1" t="s">
        <v>7</v>
      </c>
      <c r="F965" s="1" t="s">
        <v>15</v>
      </c>
      <c r="G965" s="1">
        <v>84</v>
      </c>
      <c r="H965" s="1">
        <v>75</v>
      </c>
      <c r="I965" s="1">
        <v>75</v>
      </c>
    </row>
    <row r="966" spans="1:9" x14ac:dyDescent="0.25">
      <c r="A966" s="2" t="s">
        <v>2</v>
      </c>
      <c r="B966" s="1" t="s">
        <v>19</v>
      </c>
      <c r="C966" s="76" t="s">
        <v>54</v>
      </c>
      <c r="D966" s="76">
        <f>COUNTIF($C$2:C966,C966)</f>
        <v>203</v>
      </c>
      <c r="E966" s="1" t="s">
        <v>73</v>
      </c>
      <c r="F966" s="1" t="s">
        <v>14</v>
      </c>
      <c r="G966" s="1">
        <v>57</v>
      </c>
      <c r="H966" s="1">
        <v>45</v>
      </c>
      <c r="I966" s="1">
        <v>42</v>
      </c>
    </row>
    <row r="967" spans="1:9" x14ac:dyDescent="0.25">
      <c r="A967" s="2" t="s">
        <v>2</v>
      </c>
      <c r="B967" s="1" t="s">
        <v>19</v>
      </c>
      <c r="C967" s="76" t="s">
        <v>54</v>
      </c>
      <c r="D967" s="76">
        <f>COUNTIF($C$2:C967,C967)</f>
        <v>204</v>
      </c>
      <c r="E967" s="1" t="s">
        <v>73</v>
      </c>
      <c r="F967" s="1" t="s">
        <v>15</v>
      </c>
      <c r="G967" s="1">
        <v>66</v>
      </c>
      <c r="H967" s="1">
        <v>60</v>
      </c>
      <c r="I967" s="1">
        <v>64</v>
      </c>
    </row>
    <row r="968" spans="1:9" x14ac:dyDescent="0.25">
      <c r="A968" s="2" t="s">
        <v>2</v>
      </c>
      <c r="B968" s="1" t="s">
        <v>19</v>
      </c>
      <c r="C968" s="77" t="s">
        <v>42</v>
      </c>
      <c r="D968" s="77">
        <f>COUNTIF($C$2:C968,C968)</f>
        <v>206</v>
      </c>
      <c r="E968" s="1" t="s">
        <v>7</v>
      </c>
      <c r="F968" s="1" t="s">
        <v>14</v>
      </c>
      <c r="G968" s="1">
        <v>98</v>
      </c>
      <c r="H968" s="1">
        <v>79</v>
      </c>
      <c r="I968" s="1">
        <v>85</v>
      </c>
    </row>
    <row r="969" spans="1:9" x14ac:dyDescent="0.25">
      <c r="A969" s="2" t="s">
        <v>2</v>
      </c>
      <c r="B969" s="1" t="s">
        <v>19</v>
      </c>
      <c r="C969" s="77" t="s">
        <v>42</v>
      </c>
      <c r="D969" s="77">
        <f>COUNTIF($C$2:C969,C969)</f>
        <v>207</v>
      </c>
      <c r="E969" s="1" t="s">
        <v>7</v>
      </c>
      <c r="F969" s="1" t="s">
        <v>14</v>
      </c>
      <c r="G969" s="1">
        <v>88</v>
      </c>
      <c r="H969" s="1">
        <v>81</v>
      </c>
      <c r="I969" s="1">
        <v>77</v>
      </c>
    </row>
    <row r="970" spans="1:9" x14ac:dyDescent="0.25">
      <c r="A970" s="2" t="s">
        <v>2</v>
      </c>
      <c r="B970" s="1" t="s">
        <v>19</v>
      </c>
      <c r="C970" s="77" t="s">
        <v>42</v>
      </c>
      <c r="D970" s="77">
        <f>COUNTIF($C$2:C970,C970)</f>
        <v>208</v>
      </c>
      <c r="E970" s="1" t="s">
        <v>7</v>
      </c>
      <c r="F970" s="1" t="s">
        <v>14</v>
      </c>
      <c r="G970" s="1">
        <v>88</v>
      </c>
      <c r="H970" s="1">
        <v>76</v>
      </c>
      <c r="I970" s="1">
        <v>81</v>
      </c>
    </row>
    <row r="971" spans="1:9" x14ac:dyDescent="0.25">
      <c r="A971" s="2" t="s">
        <v>2</v>
      </c>
      <c r="B971" s="1" t="s">
        <v>19</v>
      </c>
      <c r="C971" s="77" t="s">
        <v>42</v>
      </c>
      <c r="D971" s="77">
        <f>COUNTIF($C$2:C971,C971)</f>
        <v>209</v>
      </c>
      <c r="E971" s="1" t="s">
        <v>7</v>
      </c>
      <c r="F971" s="1" t="s">
        <v>14</v>
      </c>
      <c r="G971" s="1">
        <v>97</v>
      </c>
      <c r="H971" s="1">
        <v>96</v>
      </c>
      <c r="I971" s="1">
        <v>89</v>
      </c>
    </row>
    <row r="972" spans="1:9" x14ac:dyDescent="0.25">
      <c r="A972" s="2" t="s">
        <v>2</v>
      </c>
      <c r="B972" s="1" t="s">
        <v>19</v>
      </c>
      <c r="C972" s="77" t="s">
        <v>42</v>
      </c>
      <c r="D972" s="77">
        <f>COUNTIF($C$2:C972,C972)</f>
        <v>210</v>
      </c>
      <c r="E972" s="1" t="s">
        <v>7</v>
      </c>
      <c r="F972" s="1" t="s">
        <v>14</v>
      </c>
      <c r="G972" s="1">
        <v>75</v>
      </c>
      <c r="H972" s="1">
        <v>66</v>
      </c>
      <c r="I972" s="1">
        <v>59</v>
      </c>
    </row>
    <row r="973" spans="1:9" x14ac:dyDescent="0.25">
      <c r="A973" s="2" t="s">
        <v>2</v>
      </c>
      <c r="B973" s="1" t="s">
        <v>19</v>
      </c>
      <c r="C973" s="77" t="s">
        <v>42</v>
      </c>
      <c r="D973" s="77">
        <f>COUNTIF($C$2:C973,C973)</f>
        <v>211</v>
      </c>
      <c r="E973" s="1" t="s">
        <v>7</v>
      </c>
      <c r="F973" s="1" t="s">
        <v>14</v>
      </c>
      <c r="G973" s="1">
        <v>81</v>
      </c>
      <c r="H973" s="1">
        <v>78</v>
      </c>
      <c r="I973" s="1">
        <v>68</v>
      </c>
    </row>
    <row r="974" spans="1:9" x14ac:dyDescent="0.25">
      <c r="A974" s="2" t="s">
        <v>2</v>
      </c>
      <c r="B974" s="1" t="s">
        <v>19</v>
      </c>
      <c r="C974" s="77" t="s">
        <v>42</v>
      </c>
      <c r="D974" s="77">
        <f>COUNTIF($C$2:C974,C974)</f>
        <v>212</v>
      </c>
      <c r="E974" s="1" t="s">
        <v>7</v>
      </c>
      <c r="F974" s="1" t="s">
        <v>14</v>
      </c>
      <c r="G974" s="1">
        <v>81</v>
      </c>
      <c r="H974" s="1">
        <v>72</v>
      </c>
      <c r="I974" s="1">
        <v>70</v>
      </c>
    </row>
    <row r="975" spans="1:9" x14ac:dyDescent="0.25">
      <c r="A975" s="2" t="s">
        <v>2</v>
      </c>
      <c r="B975" s="1" t="s">
        <v>19</v>
      </c>
      <c r="C975" s="77" t="s">
        <v>42</v>
      </c>
      <c r="D975" s="77">
        <f>COUNTIF($C$2:C975,C975)</f>
        <v>213</v>
      </c>
      <c r="E975" s="1" t="s">
        <v>7</v>
      </c>
      <c r="F975" s="1" t="s">
        <v>15</v>
      </c>
      <c r="G975" s="1">
        <v>61</v>
      </c>
      <c r="H975" s="1">
        <v>49</v>
      </c>
      <c r="I975" s="1">
        <v>52</v>
      </c>
    </row>
    <row r="976" spans="1:9" x14ac:dyDescent="0.25">
      <c r="A976" s="2" t="s">
        <v>2</v>
      </c>
      <c r="B976" s="1" t="s">
        <v>19</v>
      </c>
      <c r="C976" s="77" t="s">
        <v>42</v>
      </c>
      <c r="D976" s="77">
        <f>COUNTIF($C$2:C976,C976)</f>
        <v>214</v>
      </c>
      <c r="E976" s="1" t="s">
        <v>7</v>
      </c>
      <c r="F976" s="1" t="s">
        <v>15</v>
      </c>
      <c r="G976" s="1">
        <v>80</v>
      </c>
      <c r="H976" s="1">
        <v>70</v>
      </c>
      <c r="I976" s="1">
        <v>71</v>
      </c>
    </row>
    <row r="977" spans="1:9" x14ac:dyDescent="0.25">
      <c r="A977" s="2" t="s">
        <v>2</v>
      </c>
      <c r="B977" s="1" t="s">
        <v>19</v>
      </c>
      <c r="C977" s="77" t="s">
        <v>42</v>
      </c>
      <c r="D977" s="77">
        <f>COUNTIF($C$2:C977,C977)</f>
        <v>215</v>
      </c>
      <c r="E977" s="1" t="s">
        <v>7</v>
      </c>
      <c r="F977" s="1" t="s">
        <v>15</v>
      </c>
      <c r="G977" s="1">
        <v>84</v>
      </c>
      <c r="H977" s="1">
        <v>77</v>
      </c>
      <c r="I977" s="1">
        <v>79</v>
      </c>
    </row>
    <row r="978" spans="1:9" x14ac:dyDescent="0.25">
      <c r="A978" s="2" t="s">
        <v>2</v>
      </c>
      <c r="B978" s="1" t="s">
        <v>19</v>
      </c>
      <c r="C978" s="77" t="s">
        <v>42</v>
      </c>
      <c r="D978" s="77">
        <f>COUNTIF($C$2:C978,C978)</f>
        <v>216</v>
      </c>
      <c r="E978" s="1" t="s">
        <v>7</v>
      </c>
      <c r="F978" s="1" t="s">
        <v>15</v>
      </c>
      <c r="G978" s="1">
        <v>97</v>
      </c>
      <c r="H978" s="1">
        <v>88</v>
      </c>
      <c r="I978" s="1">
        <v>81</v>
      </c>
    </row>
    <row r="979" spans="1:9" x14ac:dyDescent="0.25">
      <c r="A979" s="2" t="s">
        <v>2</v>
      </c>
      <c r="B979" s="1" t="s">
        <v>19</v>
      </c>
      <c r="C979" s="77" t="s">
        <v>42</v>
      </c>
      <c r="D979" s="77">
        <f>COUNTIF($C$2:C979,C979)</f>
        <v>217</v>
      </c>
      <c r="E979" s="1" t="s">
        <v>7</v>
      </c>
      <c r="F979" s="1" t="s">
        <v>15</v>
      </c>
      <c r="G979" s="1">
        <v>100</v>
      </c>
      <c r="H979" s="1">
        <v>89</v>
      </c>
      <c r="I979" s="1">
        <v>86</v>
      </c>
    </row>
    <row r="980" spans="1:9" x14ac:dyDescent="0.25">
      <c r="A980" s="2" t="s">
        <v>2</v>
      </c>
      <c r="B980" s="1" t="s">
        <v>19</v>
      </c>
      <c r="C980" s="77" t="s">
        <v>42</v>
      </c>
      <c r="D980" s="77">
        <f>COUNTIF($C$2:C980,C980)</f>
        <v>218</v>
      </c>
      <c r="E980" s="1" t="s">
        <v>7</v>
      </c>
      <c r="F980" s="1" t="s">
        <v>15</v>
      </c>
      <c r="G980" s="1">
        <v>99</v>
      </c>
      <c r="H980" s="1">
        <v>98</v>
      </c>
      <c r="I980" s="1">
        <v>93</v>
      </c>
    </row>
    <row r="981" spans="1:9" x14ac:dyDescent="0.25">
      <c r="A981" s="2" t="s">
        <v>2</v>
      </c>
      <c r="B981" s="1" t="s">
        <v>19</v>
      </c>
      <c r="C981" s="77" t="s">
        <v>42</v>
      </c>
      <c r="D981" s="77">
        <f>COUNTIF($C$2:C981,C981)</f>
        <v>219</v>
      </c>
      <c r="E981" s="1" t="s">
        <v>7</v>
      </c>
      <c r="F981" s="1" t="s">
        <v>15</v>
      </c>
      <c r="G981" s="1">
        <v>87</v>
      </c>
      <c r="H981" s="1">
        <v>87</v>
      </c>
      <c r="I981" s="1">
        <v>79</v>
      </c>
    </row>
    <row r="982" spans="1:9" x14ac:dyDescent="0.25">
      <c r="A982" s="2" t="s">
        <v>2</v>
      </c>
      <c r="B982" s="1" t="s">
        <v>19</v>
      </c>
      <c r="C982" s="77" t="s">
        <v>42</v>
      </c>
      <c r="D982" s="77">
        <f>COUNTIF($C$2:C982,C982)</f>
        <v>220</v>
      </c>
      <c r="E982" s="1" t="s">
        <v>7</v>
      </c>
      <c r="F982" s="1" t="s">
        <v>15</v>
      </c>
      <c r="G982" s="1">
        <v>91</v>
      </c>
      <c r="H982" s="1">
        <v>76</v>
      </c>
      <c r="I982" s="1">
        <v>78</v>
      </c>
    </row>
    <row r="983" spans="1:9" x14ac:dyDescent="0.25">
      <c r="A983" s="2" t="s">
        <v>2</v>
      </c>
      <c r="B983" s="1" t="s">
        <v>19</v>
      </c>
      <c r="C983" s="77" t="s">
        <v>42</v>
      </c>
      <c r="D983" s="77">
        <f>COUNTIF($C$2:C983,C983)</f>
        <v>221</v>
      </c>
      <c r="E983" s="1" t="s">
        <v>7</v>
      </c>
      <c r="F983" s="1" t="s">
        <v>15</v>
      </c>
      <c r="G983" s="1">
        <v>90</v>
      </c>
      <c r="H983" s="1">
        <v>93</v>
      </c>
      <c r="I983" s="1">
        <v>91</v>
      </c>
    </row>
    <row r="984" spans="1:9" x14ac:dyDescent="0.25">
      <c r="A984" s="2" t="s">
        <v>2</v>
      </c>
      <c r="B984" s="1" t="s">
        <v>19</v>
      </c>
      <c r="C984" s="77" t="s">
        <v>42</v>
      </c>
      <c r="D984" s="77">
        <f>COUNTIF($C$2:C984,C984)</f>
        <v>222</v>
      </c>
      <c r="E984" s="1" t="s">
        <v>73</v>
      </c>
      <c r="F984" s="1" t="s">
        <v>14</v>
      </c>
      <c r="G984" s="1">
        <v>73</v>
      </c>
      <c r="H984" s="1">
        <v>73</v>
      </c>
      <c r="I984" s="1">
        <v>63</v>
      </c>
    </row>
    <row r="985" spans="1:9" x14ac:dyDescent="0.25">
      <c r="A985" s="2" t="s">
        <v>2</v>
      </c>
      <c r="B985" s="1" t="s">
        <v>19</v>
      </c>
      <c r="C985" s="77" t="s">
        <v>42</v>
      </c>
      <c r="D985" s="77">
        <f>COUNTIF($C$2:C985,C985)</f>
        <v>223</v>
      </c>
      <c r="E985" s="1" t="s">
        <v>73</v>
      </c>
      <c r="F985" s="1" t="s">
        <v>14</v>
      </c>
      <c r="G985" s="1">
        <v>67</v>
      </c>
      <c r="H985" s="1">
        <v>67</v>
      </c>
      <c r="I985" s="1">
        <v>62</v>
      </c>
    </row>
    <row r="986" spans="1:9" x14ac:dyDescent="0.25">
      <c r="A986" s="2" t="s">
        <v>2</v>
      </c>
      <c r="B986" s="1" t="s">
        <v>19</v>
      </c>
      <c r="C986" s="77" t="s">
        <v>42</v>
      </c>
      <c r="D986" s="77">
        <f>COUNTIF($C$2:C986,C986)</f>
        <v>224</v>
      </c>
      <c r="E986" s="1" t="s">
        <v>73</v>
      </c>
      <c r="F986" s="1" t="s">
        <v>15</v>
      </c>
      <c r="G986" s="1">
        <v>72</v>
      </c>
      <c r="H986" s="1">
        <v>73</v>
      </c>
      <c r="I986" s="1">
        <v>75</v>
      </c>
    </row>
    <row r="987" spans="1:9" x14ac:dyDescent="0.25">
      <c r="A987" s="2" t="s">
        <v>2</v>
      </c>
      <c r="B987" s="1" t="s">
        <v>19</v>
      </c>
      <c r="C987" s="78" t="s">
        <v>52</v>
      </c>
      <c r="D987" s="78">
        <f>COUNTIF($C$2:C987,C987)</f>
        <v>100</v>
      </c>
      <c r="E987" s="1" t="s">
        <v>7</v>
      </c>
      <c r="F987" s="1" t="s">
        <v>14</v>
      </c>
      <c r="G987" s="1">
        <v>85</v>
      </c>
      <c r="H987" s="1">
        <v>77</v>
      </c>
      <c r="I987" s="1">
        <v>78</v>
      </c>
    </row>
    <row r="988" spans="1:9" x14ac:dyDescent="0.25">
      <c r="A988" s="2" t="s">
        <v>2</v>
      </c>
      <c r="B988" s="1" t="s">
        <v>19</v>
      </c>
      <c r="C988" s="78" t="s">
        <v>52</v>
      </c>
      <c r="D988" s="78">
        <f>COUNTIF($C$2:C988,C988)</f>
        <v>101</v>
      </c>
      <c r="E988" s="1" t="s">
        <v>7</v>
      </c>
      <c r="F988" s="1" t="s">
        <v>14</v>
      </c>
      <c r="G988" s="1">
        <v>56</v>
      </c>
      <c r="H988" s="1">
        <v>50</v>
      </c>
      <c r="I988" s="1">
        <v>50</v>
      </c>
    </row>
    <row r="989" spans="1:9" x14ac:dyDescent="0.25">
      <c r="A989" s="2" t="s">
        <v>2</v>
      </c>
      <c r="B989" s="1" t="s">
        <v>19</v>
      </c>
      <c r="C989" s="78" t="s">
        <v>52</v>
      </c>
      <c r="D989" s="78">
        <f>COUNTIF($C$2:C989,C989)</f>
        <v>102</v>
      </c>
      <c r="E989" s="1" t="s">
        <v>7</v>
      </c>
      <c r="F989" s="1" t="s">
        <v>15</v>
      </c>
      <c r="G989" s="1">
        <v>95</v>
      </c>
      <c r="H989" s="1">
        <v>90</v>
      </c>
      <c r="I989" s="1">
        <v>89</v>
      </c>
    </row>
    <row r="990" spans="1:9" x14ac:dyDescent="0.25">
      <c r="A990" s="2" t="s">
        <v>2</v>
      </c>
      <c r="B990" s="1" t="s">
        <v>19</v>
      </c>
      <c r="C990" s="78" t="s">
        <v>52</v>
      </c>
      <c r="D990" s="78">
        <f>COUNTIF($C$2:C990,C990)</f>
        <v>103</v>
      </c>
      <c r="E990" s="1" t="s">
        <v>7</v>
      </c>
      <c r="F990" s="1" t="s">
        <v>15</v>
      </c>
      <c r="G990" s="1">
        <v>100</v>
      </c>
      <c r="H990" s="1">
        <v>100</v>
      </c>
      <c r="I990" s="1">
        <v>100</v>
      </c>
    </row>
    <row r="991" spans="1:9" x14ac:dyDescent="0.25">
      <c r="A991" s="2" t="s">
        <v>2</v>
      </c>
      <c r="B991" s="1" t="s">
        <v>19</v>
      </c>
      <c r="C991" s="78" t="s">
        <v>52</v>
      </c>
      <c r="D991" s="78">
        <f>COUNTIF($C$2:C991,C991)</f>
        <v>104</v>
      </c>
      <c r="E991" s="1" t="s">
        <v>73</v>
      </c>
      <c r="F991" s="1" t="s">
        <v>14</v>
      </c>
      <c r="G991" s="1">
        <v>62</v>
      </c>
      <c r="H991" s="1">
        <v>69</v>
      </c>
      <c r="I991" s="1">
        <v>60</v>
      </c>
    </row>
    <row r="992" spans="1:9" x14ac:dyDescent="0.25">
      <c r="A992" s="2" t="s">
        <v>2</v>
      </c>
      <c r="B992" s="1" t="s">
        <v>19</v>
      </c>
      <c r="C992" s="78" t="s">
        <v>52</v>
      </c>
      <c r="D992" s="78">
        <f>COUNTIF($C$2:C992,C992)</f>
        <v>105</v>
      </c>
      <c r="E992" s="1" t="s">
        <v>73</v>
      </c>
      <c r="F992" s="1" t="s">
        <v>14</v>
      </c>
      <c r="G992" s="1">
        <v>87</v>
      </c>
      <c r="H992" s="1">
        <v>79</v>
      </c>
      <c r="I992" s="1">
        <v>72</v>
      </c>
    </row>
    <row r="993" spans="1:9" x14ac:dyDescent="0.25">
      <c r="A993" s="2" t="s">
        <v>2</v>
      </c>
      <c r="B993" s="1" t="s">
        <v>19</v>
      </c>
      <c r="C993" s="79" t="s">
        <v>59</v>
      </c>
      <c r="D993" s="79">
        <f>COUNTIF($C$2:C993,C993)</f>
        <v>67</v>
      </c>
      <c r="E993" s="1" t="s">
        <v>7</v>
      </c>
      <c r="F993" s="1" t="s">
        <v>14</v>
      </c>
      <c r="G993" s="1">
        <v>89</v>
      </c>
      <c r="H993" s="1">
        <v>85</v>
      </c>
      <c r="I993" s="1">
        <v>78</v>
      </c>
    </row>
    <row r="994" spans="1:9" x14ac:dyDescent="0.25">
      <c r="A994" s="2" t="s">
        <v>2</v>
      </c>
      <c r="B994" s="1" t="s">
        <v>19</v>
      </c>
      <c r="C994" s="79" t="s">
        <v>59</v>
      </c>
      <c r="D994" s="79">
        <f>COUNTIF($C$2:C994,C994)</f>
        <v>68</v>
      </c>
      <c r="E994" s="1" t="s">
        <v>7</v>
      </c>
      <c r="F994" s="1" t="s">
        <v>14</v>
      </c>
      <c r="G994" s="1">
        <v>43</v>
      </c>
      <c r="H994" s="1">
        <v>45</v>
      </c>
      <c r="I994" s="1">
        <v>38</v>
      </c>
    </row>
    <row r="995" spans="1:9" x14ac:dyDescent="0.25">
      <c r="A995" s="2" t="s">
        <v>2</v>
      </c>
      <c r="B995" s="1" t="s">
        <v>19</v>
      </c>
      <c r="C995" s="79" t="s">
        <v>59</v>
      </c>
      <c r="D995" s="79">
        <f>COUNTIF($C$2:C995,C995)</f>
        <v>69</v>
      </c>
      <c r="E995" s="1" t="s">
        <v>7</v>
      </c>
      <c r="F995" s="1" t="s">
        <v>14</v>
      </c>
      <c r="G995" s="1">
        <v>91</v>
      </c>
      <c r="H995" s="1">
        <v>82</v>
      </c>
      <c r="I995" s="1">
        <v>74</v>
      </c>
    </row>
    <row r="996" spans="1:9" x14ac:dyDescent="0.25">
      <c r="A996" s="2" t="s">
        <v>2</v>
      </c>
      <c r="B996" s="1" t="s">
        <v>19</v>
      </c>
      <c r="C996" s="79" t="s">
        <v>59</v>
      </c>
      <c r="D996" s="79">
        <f>COUNTIF($C$2:C996,C996)</f>
        <v>70</v>
      </c>
      <c r="E996" s="1" t="s">
        <v>7</v>
      </c>
      <c r="F996" s="1" t="s">
        <v>15</v>
      </c>
      <c r="G996" s="1">
        <v>88</v>
      </c>
      <c r="H996" s="1">
        <v>89</v>
      </c>
      <c r="I996" s="1">
        <v>87</v>
      </c>
    </row>
    <row r="997" spans="1:9" x14ac:dyDescent="0.25">
      <c r="A997" s="2" t="s">
        <v>2</v>
      </c>
      <c r="B997" s="1" t="s">
        <v>19</v>
      </c>
      <c r="C997" s="79" t="s">
        <v>59</v>
      </c>
      <c r="D997" s="79">
        <f>COUNTIF($C$2:C997,C997)</f>
        <v>71</v>
      </c>
      <c r="E997" s="1" t="s">
        <v>7</v>
      </c>
      <c r="F997" s="1" t="s">
        <v>15</v>
      </c>
      <c r="G997" s="1">
        <v>84</v>
      </c>
      <c r="H997" s="1">
        <v>76</v>
      </c>
      <c r="I997" s="1">
        <v>81</v>
      </c>
    </row>
    <row r="998" spans="1:9" x14ac:dyDescent="0.25">
      <c r="A998" s="2" t="s">
        <v>2</v>
      </c>
      <c r="B998" s="1" t="s">
        <v>19</v>
      </c>
      <c r="C998" s="79" t="s">
        <v>59</v>
      </c>
      <c r="D998" s="79">
        <f>COUNTIF($C$2:C998,C998)</f>
        <v>72</v>
      </c>
      <c r="E998" s="1" t="s">
        <v>73</v>
      </c>
      <c r="F998" s="1" t="s">
        <v>14</v>
      </c>
      <c r="G998" s="1">
        <v>56</v>
      </c>
      <c r="H998" s="1">
        <v>46</v>
      </c>
      <c r="I998" s="1">
        <v>43</v>
      </c>
    </row>
    <row r="999" spans="1:9" x14ac:dyDescent="0.25">
      <c r="A999" s="2" t="s">
        <v>2</v>
      </c>
      <c r="B999" s="1" t="s">
        <v>19</v>
      </c>
      <c r="C999" s="79" t="s">
        <v>59</v>
      </c>
      <c r="D999" s="79">
        <f>COUNTIF($C$2:C999,C999)</f>
        <v>73</v>
      </c>
      <c r="E999" s="1" t="s">
        <v>73</v>
      </c>
      <c r="F999" s="1" t="s">
        <v>14</v>
      </c>
      <c r="G999" s="1">
        <v>74</v>
      </c>
      <c r="H999" s="1">
        <v>67</v>
      </c>
      <c r="I999" s="1">
        <v>67</v>
      </c>
    </row>
    <row r="1000" spans="1:9" x14ac:dyDescent="0.25">
      <c r="A1000" s="2" t="s">
        <v>2</v>
      </c>
      <c r="B1000" s="1" t="s">
        <v>19</v>
      </c>
      <c r="C1000" s="79" t="s">
        <v>59</v>
      </c>
      <c r="D1000" s="79">
        <f>COUNTIF($C$2:C1000,C1000)</f>
        <v>74</v>
      </c>
      <c r="E1000" s="1" t="s">
        <v>73</v>
      </c>
      <c r="F1000" s="1" t="s">
        <v>14</v>
      </c>
      <c r="G1000" s="1">
        <v>69</v>
      </c>
      <c r="H1000" s="1">
        <v>56</v>
      </c>
      <c r="I1000" s="1">
        <v>56</v>
      </c>
    </row>
    <row r="1001" spans="1:9" x14ac:dyDescent="0.25">
      <c r="A1001" s="2" t="s">
        <v>2</v>
      </c>
      <c r="B1001" s="1" t="s">
        <v>19</v>
      </c>
      <c r="C1001" s="79" t="s">
        <v>59</v>
      </c>
      <c r="D1001" s="79">
        <f>COUNTIF($C$2:C1001,C1001)</f>
        <v>75</v>
      </c>
      <c r="E1001" s="1" t="s">
        <v>73</v>
      </c>
      <c r="F1001" s="1" t="s">
        <v>14</v>
      </c>
      <c r="G1001" s="1">
        <v>68</v>
      </c>
      <c r="H1001" s="1">
        <v>70</v>
      </c>
      <c r="I1001" s="1">
        <v>62</v>
      </c>
    </row>
  </sheetData>
  <sortState xmlns:xlrd2="http://schemas.microsoft.com/office/spreadsheetml/2017/richdata2" ref="A2:I1003">
    <sortCondition ref="A2:A1003"/>
    <sortCondition ref="B2:B1003"/>
    <sortCondition sortBy="fontColor" ref="C2:C1003" dxfId="58"/>
    <sortCondition sortBy="fontColor" ref="C2:C1003" dxfId="57"/>
    <sortCondition sortBy="fontColor" ref="C2:C1003" dxfId="56"/>
    <sortCondition sortBy="fontColor" ref="C2:C1003" dxfId="55"/>
    <sortCondition sortBy="fontColor" ref="C2:C1003" dxfId="54"/>
    <sortCondition descending="1" sortBy="fontColor" ref="C2:C1003" dxfId="53"/>
    <sortCondition descending="1" ref="E2:E1003"/>
    <sortCondition descending="1" ref="F2:F1003"/>
  </sortState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B064B-4E84-4F2F-87FA-B20AEC6B1D6C}">
  <sheetPr codeName="Planilha6"/>
  <dimension ref="A1:L1005"/>
  <sheetViews>
    <sheetView tabSelected="1" workbookViewId="0">
      <selection activeCell="I2" sqref="I2"/>
    </sheetView>
  </sheetViews>
  <sheetFormatPr defaultColWidth="9.140625" defaultRowHeight="15" x14ac:dyDescent="0.25"/>
  <cols>
    <col min="1" max="1" width="10.5703125" style="53" bestFit="1" customWidth="1"/>
    <col min="2" max="2" width="10.85546875" style="53" bestFit="1" customWidth="1"/>
    <col min="3" max="3" width="25.140625" style="53" bestFit="1" customWidth="1"/>
    <col min="4" max="4" width="10" style="53" hidden="1" customWidth="1"/>
    <col min="5" max="5" width="13.85546875" style="53" bestFit="1" customWidth="1"/>
    <col min="6" max="6" width="30.5703125" style="53" bestFit="1" customWidth="1"/>
    <col min="7" max="7" width="21.5703125" style="53" bestFit="1" customWidth="1"/>
    <col min="8" max="9" width="19.5703125" style="53" bestFit="1" customWidth="1"/>
    <col min="10" max="16384" width="9.140625" style="53"/>
  </cols>
  <sheetData>
    <row r="1" spans="1:12" ht="27.75" customHeight="1" thickBot="1" x14ac:dyDescent="0.3">
      <c r="A1" s="102" t="s">
        <v>0</v>
      </c>
      <c r="B1" s="103" t="s">
        <v>3</v>
      </c>
      <c r="C1" s="103" t="s">
        <v>4</v>
      </c>
      <c r="D1" s="103" t="s">
        <v>27</v>
      </c>
      <c r="E1" s="103" t="s">
        <v>5</v>
      </c>
      <c r="F1" s="103" t="s">
        <v>13</v>
      </c>
      <c r="G1" s="103" t="s">
        <v>16</v>
      </c>
      <c r="H1" s="103" t="s">
        <v>17</v>
      </c>
      <c r="I1" s="103" t="s">
        <v>18</v>
      </c>
      <c r="J1" s="104"/>
      <c r="K1" s="265" t="s">
        <v>71</v>
      </c>
      <c r="L1" s="264"/>
    </row>
    <row r="2" spans="1:12" ht="31.5" customHeight="1" thickBot="1" x14ac:dyDescent="0.3">
      <c r="A2" s="105"/>
      <c r="B2" s="106"/>
      <c r="C2" s="106"/>
      <c r="D2" s="107"/>
      <c r="E2" s="106"/>
      <c r="F2" s="106"/>
      <c r="G2" s="106"/>
      <c r="H2" s="106"/>
      <c r="I2" s="106"/>
      <c r="K2" s="108"/>
      <c r="L2" s="109"/>
    </row>
    <row r="3" spans="1:12" ht="16.5" thickBot="1" x14ac:dyDescent="0.3">
      <c r="A3" s="253"/>
      <c r="B3" s="254"/>
      <c r="C3" s="254"/>
      <c r="D3" s="254"/>
      <c r="E3" s="254"/>
      <c r="F3" s="254"/>
      <c r="G3" s="254"/>
      <c r="H3" s="254"/>
      <c r="I3" s="255"/>
      <c r="K3" s="263" t="s">
        <v>72</v>
      </c>
      <c r="L3" s="264"/>
    </row>
    <row r="4" spans="1:12" ht="15.75" thickBot="1" x14ac:dyDescent="0.3">
      <c r="A4" s="256"/>
      <c r="B4" s="257"/>
      <c r="C4" s="257"/>
      <c r="D4" s="257"/>
      <c r="E4" s="257"/>
      <c r="F4" s="257"/>
      <c r="G4" s="257"/>
      <c r="H4" s="257"/>
      <c r="I4" s="258"/>
      <c r="K4" s="259"/>
      <c r="L4" s="260"/>
    </row>
    <row r="5" spans="1:12" ht="15.75" thickBot="1" x14ac:dyDescent="0.3">
      <c r="A5" s="110" t="s">
        <v>0</v>
      </c>
      <c r="B5" s="111" t="s">
        <v>3</v>
      </c>
      <c r="C5" s="111" t="s">
        <v>4</v>
      </c>
      <c r="D5" s="112" t="s">
        <v>27</v>
      </c>
      <c r="E5" s="111" t="s">
        <v>5</v>
      </c>
      <c r="F5" s="111" t="s">
        <v>13</v>
      </c>
      <c r="G5" s="111" t="s">
        <v>16</v>
      </c>
      <c r="H5" s="111" t="s">
        <v>17</v>
      </c>
      <c r="I5" s="111" t="s">
        <v>18</v>
      </c>
      <c r="K5" s="266"/>
      <c r="L5" s="267"/>
    </row>
    <row r="6" spans="1:12" x14ac:dyDescent="0.25">
      <c r="A6" s="2" t="s">
        <v>1</v>
      </c>
      <c r="B6" s="1" t="s">
        <v>9</v>
      </c>
      <c r="C6" s="74" t="s">
        <v>53</v>
      </c>
      <c r="D6" s="74">
        <v>1</v>
      </c>
      <c r="E6" s="1" t="s">
        <v>7</v>
      </c>
      <c r="F6" s="1" t="s">
        <v>14</v>
      </c>
      <c r="G6" s="1">
        <v>57</v>
      </c>
      <c r="H6" s="1">
        <v>53</v>
      </c>
      <c r="I6" s="1">
        <v>54</v>
      </c>
      <c r="K6" s="259"/>
      <c r="L6" s="260"/>
    </row>
    <row r="7" spans="1:12" ht="15.75" thickBot="1" x14ac:dyDescent="0.3">
      <c r="A7" s="2" t="s">
        <v>1</v>
      </c>
      <c r="B7" s="1" t="s">
        <v>9</v>
      </c>
      <c r="C7" s="74" t="s">
        <v>53</v>
      </c>
      <c r="D7" s="74">
        <v>2</v>
      </c>
      <c r="E7" s="1" t="s">
        <v>7</v>
      </c>
      <c r="F7" s="1" t="s">
        <v>14</v>
      </c>
      <c r="G7" s="1">
        <v>70</v>
      </c>
      <c r="H7" s="1">
        <v>82</v>
      </c>
      <c r="I7" s="1">
        <v>83</v>
      </c>
      <c r="K7" s="261"/>
      <c r="L7" s="262"/>
    </row>
    <row r="8" spans="1:12" x14ac:dyDescent="0.25">
      <c r="A8" s="2" t="s">
        <v>1</v>
      </c>
      <c r="B8" s="1" t="s">
        <v>9</v>
      </c>
      <c r="C8" s="74" t="s">
        <v>53</v>
      </c>
      <c r="D8" s="74">
        <v>3</v>
      </c>
      <c r="E8" s="1" t="s">
        <v>7</v>
      </c>
      <c r="F8" s="1" t="s">
        <v>14</v>
      </c>
      <c r="G8" s="1">
        <v>70</v>
      </c>
      <c r="H8" s="1">
        <v>75</v>
      </c>
      <c r="I8" s="1">
        <v>70</v>
      </c>
      <c r="K8" s="259"/>
      <c r="L8" s="260"/>
    </row>
    <row r="9" spans="1:12" ht="15.75" thickBot="1" x14ac:dyDescent="0.3">
      <c r="A9" s="2" t="s">
        <v>1</v>
      </c>
      <c r="B9" s="1" t="s">
        <v>9</v>
      </c>
      <c r="C9" s="74" t="s">
        <v>53</v>
      </c>
      <c r="D9" s="74">
        <v>4</v>
      </c>
      <c r="E9" s="1" t="s">
        <v>7</v>
      </c>
      <c r="F9" s="1" t="s">
        <v>15</v>
      </c>
      <c r="G9" s="1">
        <v>57</v>
      </c>
      <c r="H9" s="1">
        <v>68</v>
      </c>
      <c r="I9" s="1">
        <v>74</v>
      </c>
      <c r="K9" s="266"/>
      <c r="L9" s="267"/>
    </row>
    <row r="10" spans="1:12" x14ac:dyDescent="0.25">
      <c r="A10" s="2" t="s">
        <v>1</v>
      </c>
      <c r="B10" s="1" t="s">
        <v>9</v>
      </c>
      <c r="C10" s="74" t="s">
        <v>53</v>
      </c>
      <c r="D10" s="74">
        <v>5</v>
      </c>
      <c r="E10" s="1" t="s">
        <v>7</v>
      </c>
      <c r="F10" s="1" t="s">
        <v>15</v>
      </c>
      <c r="G10" s="1">
        <v>64</v>
      </c>
      <c r="H10" s="1">
        <v>81</v>
      </c>
      <c r="I10" s="1">
        <v>87</v>
      </c>
      <c r="K10" s="259"/>
      <c r="L10" s="260"/>
    </row>
    <row r="11" spans="1:12" ht="15.75" thickBot="1" x14ac:dyDescent="0.3">
      <c r="A11" s="2" t="s">
        <v>1</v>
      </c>
      <c r="B11" s="1" t="s">
        <v>9</v>
      </c>
      <c r="C11" s="74" t="s">
        <v>53</v>
      </c>
      <c r="D11" s="74">
        <v>6</v>
      </c>
      <c r="E11" s="1" t="s">
        <v>73</v>
      </c>
      <c r="F11" s="1" t="s">
        <v>14</v>
      </c>
      <c r="G11" s="1">
        <v>57</v>
      </c>
      <c r="H11" s="1">
        <v>70</v>
      </c>
      <c r="I11" s="1">
        <v>71</v>
      </c>
      <c r="K11" s="261"/>
      <c r="L11" s="262"/>
    </row>
    <row r="12" spans="1:12" x14ac:dyDescent="0.25">
      <c r="A12" s="2" t="s">
        <v>1</v>
      </c>
      <c r="B12" s="1" t="s">
        <v>9</v>
      </c>
      <c r="C12" s="74" t="s">
        <v>53</v>
      </c>
      <c r="D12" s="74">
        <v>7</v>
      </c>
      <c r="E12" s="1" t="s">
        <v>73</v>
      </c>
      <c r="F12" s="1" t="s">
        <v>14</v>
      </c>
      <c r="G12" s="1">
        <v>47</v>
      </c>
      <c r="H12" s="1">
        <v>58</v>
      </c>
      <c r="I12" s="1">
        <v>54</v>
      </c>
    </row>
    <row r="13" spans="1:12" x14ac:dyDescent="0.25">
      <c r="A13" s="2" t="s">
        <v>1</v>
      </c>
      <c r="B13" s="1" t="s">
        <v>9</v>
      </c>
      <c r="C13" s="74" t="s">
        <v>53</v>
      </c>
      <c r="D13" s="74">
        <v>8</v>
      </c>
      <c r="E13" s="1" t="s">
        <v>73</v>
      </c>
      <c r="F13" s="1" t="s">
        <v>15</v>
      </c>
      <c r="G13" s="1">
        <v>53</v>
      </c>
      <c r="H13" s="1">
        <v>77</v>
      </c>
      <c r="I13" s="1">
        <v>75</v>
      </c>
      <c r="K13" s="99">
        <f>COUNT(I6:I1005)</f>
        <v>1000</v>
      </c>
      <c r="L13" s="99">
        <f>fnExibeMsg(K13)</f>
        <v>1000</v>
      </c>
    </row>
    <row r="14" spans="1:12" x14ac:dyDescent="0.25">
      <c r="A14" s="2" t="s">
        <v>1</v>
      </c>
      <c r="B14" s="1" t="s">
        <v>9</v>
      </c>
      <c r="C14" s="75" t="s">
        <v>6</v>
      </c>
      <c r="D14" s="75">
        <v>1</v>
      </c>
      <c r="E14" s="1" t="s">
        <v>7</v>
      </c>
      <c r="F14" s="1" t="s">
        <v>14</v>
      </c>
      <c r="G14" s="1">
        <v>61</v>
      </c>
      <c r="H14" s="1">
        <v>73</v>
      </c>
      <c r="I14" s="1">
        <v>70</v>
      </c>
    </row>
    <row r="15" spans="1:12" x14ac:dyDescent="0.25">
      <c r="A15" s="2" t="s">
        <v>1</v>
      </c>
      <c r="B15" s="1" t="s">
        <v>9</v>
      </c>
      <c r="C15" s="75" t="s">
        <v>6</v>
      </c>
      <c r="D15" s="75">
        <v>2</v>
      </c>
      <c r="E15" s="1" t="s">
        <v>7</v>
      </c>
      <c r="F15" s="1" t="s">
        <v>14</v>
      </c>
      <c r="G15" s="1">
        <v>64</v>
      </c>
      <c r="H15" s="1">
        <v>72</v>
      </c>
      <c r="I15" s="1">
        <v>66</v>
      </c>
    </row>
    <row r="16" spans="1:12" x14ac:dyDescent="0.25">
      <c r="A16" s="2" t="s">
        <v>1</v>
      </c>
      <c r="B16" s="1" t="s">
        <v>9</v>
      </c>
      <c r="C16" s="75" t="s">
        <v>6</v>
      </c>
      <c r="D16" s="75">
        <v>3</v>
      </c>
      <c r="E16" s="1" t="s">
        <v>7</v>
      </c>
      <c r="F16" s="1" t="s">
        <v>14</v>
      </c>
      <c r="G16" s="1">
        <v>79</v>
      </c>
      <c r="H16" s="1">
        <v>97</v>
      </c>
      <c r="I16" s="1">
        <v>85</v>
      </c>
    </row>
    <row r="17" spans="1:9" x14ac:dyDescent="0.25">
      <c r="A17" s="2" t="s">
        <v>1</v>
      </c>
      <c r="B17" s="1" t="s">
        <v>9</v>
      </c>
      <c r="C17" s="75" t="s">
        <v>6</v>
      </c>
      <c r="D17" s="75">
        <v>4</v>
      </c>
      <c r="E17" s="1" t="s">
        <v>7</v>
      </c>
      <c r="F17" s="1" t="s">
        <v>14</v>
      </c>
      <c r="G17" s="1">
        <v>61</v>
      </c>
      <c r="H17" s="1">
        <v>69</v>
      </c>
      <c r="I17" s="1">
        <v>69</v>
      </c>
    </row>
    <row r="18" spans="1:9" x14ac:dyDescent="0.25">
      <c r="A18" s="2" t="s">
        <v>1</v>
      </c>
      <c r="B18" s="1" t="s">
        <v>9</v>
      </c>
      <c r="C18" s="75" t="s">
        <v>6</v>
      </c>
      <c r="D18" s="75">
        <v>5</v>
      </c>
      <c r="E18" s="1" t="s">
        <v>7</v>
      </c>
      <c r="F18" s="1" t="s">
        <v>14</v>
      </c>
      <c r="G18" s="1">
        <v>79</v>
      </c>
      <c r="H18" s="1">
        <v>86</v>
      </c>
      <c r="I18" s="1">
        <v>84</v>
      </c>
    </row>
    <row r="19" spans="1:9" x14ac:dyDescent="0.25">
      <c r="A19" s="2" t="s">
        <v>1</v>
      </c>
      <c r="B19" s="1" t="s">
        <v>9</v>
      </c>
      <c r="C19" s="75" t="s">
        <v>6</v>
      </c>
      <c r="D19" s="75">
        <v>6</v>
      </c>
      <c r="E19" s="1" t="s">
        <v>7</v>
      </c>
      <c r="F19" s="1" t="s">
        <v>14</v>
      </c>
      <c r="G19" s="1">
        <v>61</v>
      </c>
      <c r="H19" s="1">
        <v>69</v>
      </c>
      <c r="I19" s="1">
        <v>66</v>
      </c>
    </row>
    <row r="20" spans="1:9" x14ac:dyDescent="0.25">
      <c r="A20" s="2" t="s">
        <v>1</v>
      </c>
      <c r="B20" s="1" t="s">
        <v>9</v>
      </c>
      <c r="C20" s="75" t="s">
        <v>6</v>
      </c>
      <c r="D20" s="75">
        <v>7</v>
      </c>
      <c r="E20" s="1" t="s">
        <v>7</v>
      </c>
      <c r="F20" s="1" t="s">
        <v>14</v>
      </c>
      <c r="G20" s="1">
        <v>52</v>
      </c>
      <c r="H20" s="1">
        <v>68</v>
      </c>
      <c r="I20" s="1">
        <v>66</v>
      </c>
    </row>
    <row r="21" spans="1:9" x14ac:dyDescent="0.25">
      <c r="A21" s="2" t="s">
        <v>1</v>
      </c>
      <c r="B21" s="1" t="s">
        <v>9</v>
      </c>
      <c r="C21" s="75" t="s">
        <v>6</v>
      </c>
      <c r="D21" s="75">
        <v>8</v>
      </c>
      <c r="E21" s="1" t="s">
        <v>7</v>
      </c>
      <c r="F21" s="1" t="s">
        <v>14</v>
      </c>
      <c r="G21" s="1">
        <v>61</v>
      </c>
      <c r="H21" s="1">
        <v>73</v>
      </c>
      <c r="I21" s="1">
        <v>74</v>
      </c>
    </row>
    <row r="22" spans="1:9" x14ac:dyDescent="0.25">
      <c r="A22" s="2" t="s">
        <v>1</v>
      </c>
      <c r="B22" s="1" t="s">
        <v>9</v>
      </c>
      <c r="C22" s="75" t="s">
        <v>6</v>
      </c>
      <c r="D22" s="75">
        <v>9</v>
      </c>
      <c r="E22" s="1" t="s">
        <v>7</v>
      </c>
      <c r="F22" s="1" t="s">
        <v>15</v>
      </c>
      <c r="G22" s="1">
        <v>56</v>
      </c>
      <c r="H22" s="1">
        <v>68</v>
      </c>
      <c r="I22" s="1">
        <v>70</v>
      </c>
    </row>
    <row r="23" spans="1:9" x14ac:dyDescent="0.25">
      <c r="A23" s="2" t="s">
        <v>1</v>
      </c>
      <c r="B23" s="1" t="s">
        <v>9</v>
      </c>
      <c r="C23" s="75" t="s">
        <v>6</v>
      </c>
      <c r="D23" s="75">
        <v>10</v>
      </c>
      <c r="E23" s="1" t="s">
        <v>7</v>
      </c>
      <c r="F23" s="1" t="s">
        <v>15</v>
      </c>
      <c r="G23" s="1">
        <v>68</v>
      </c>
      <c r="H23" s="1">
        <v>75</v>
      </c>
      <c r="I23" s="1">
        <v>73</v>
      </c>
    </row>
    <row r="24" spans="1:9" x14ac:dyDescent="0.25">
      <c r="A24" s="2" t="s">
        <v>1</v>
      </c>
      <c r="B24" s="1" t="s">
        <v>9</v>
      </c>
      <c r="C24" s="75" t="s">
        <v>6</v>
      </c>
      <c r="D24" s="75">
        <v>11</v>
      </c>
      <c r="E24" s="1" t="s">
        <v>7</v>
      </c>
      <c r="F24" s="1" t="s">
        <v>15</v>
      </c>
      <c r="G24" s="1">
        <v>82</v>
      </c>
      <c r="H24" s="1">
        <v>95</v>
      </c>
      <c r="I24" s="1">
        <v>93</v>
      </c>
    </row>
    <row r="25" spans="1:9" x14ac:dyDescent="0.25">
      <c r="A25" s="2" t="s">
        <v>1</v>
      </c>
      <c r="B25" s="1" t="s">
        <v>9</v>
      </c>
      <c r="C25" s="75" t="s">
        <v>6</v>
      </c>
      <c r="D25" s="75">
        <v>12</v>
      </c>
      <c r="E25" s="1" t="s">
        <v>7</v>
      </c>
      <c r="F25" s="1" t="s">
        <v>15</v>
      </c>
      <c r="G25" s="1">
        <v>67</v>
      </c>
      <c r="H25" s="1">
        <v>86</v>
      </c>
      <c r="I25" s="1">
        <v>86</v>
      </c>
    </row>
    <row r="26" spans="1:9" x14ac:dyDescent="0.25">
      <c r="A26" s="2" t="s">
        <v>1</v>
      </c>
      <c r="B26" s="1" t="s">
        <v>9</v>
      </c>
      <c r="C26" s="75" t="s">
        <v>6</v>
      </c>
      <c r="D26" s="75">
        <v>13</v>
      </c>
      <c r="E26" s="1" t="s">
        <v>73</v>
      </c>
      <c r="F26" s="1" t="s">
        <v>14</v>
      </c>
      <c r="G26" s="1">
        <v>34</v>
      </c>
      <c r="H26" s="1">
        <v>49</v>
      </c>
      <c r="I26" s="1">
        <v>47</v>
      </c>
    </row>
    <row r="27" spans="1:9" x14ac:dyDescent="0.25">
      <c r="A27" s="2" t="s">
        <v>1</v>
      </c>
      <c r="B27" s="1" t="s">
        <v>9</v>
      </c>
      <c r="C27" s="76" t="s">
        <v>54</v>
      </c>
      <c r="D27" s="76">
        <v>1</v>
      </c>
      <c r="E27" s="1" t="s">
        <v>7</v>
      </c>
      <c r="F27" s="1" t="s">
        <v>14</v>
      </c>
      <c r="G27" s="1">
        <v>53</v>
      </c>
      <c r="H27" s="1">
        <v>57</v>
      </c>
      <c r="I27" s="1">
        <v>60</v>
      </c>
    </row>
    <row r="28" spans="1:9" x14ac:dyDescent="0.25">
      <c r="A28" s="2" t="s">
        <v>1</v>
      </c>
      <c r="B28" s="1" t="s">
        <v>9</v>
      </c>
      <c r="C28" s="76" t="s">
        <v>54</v>
      </c>
      <c r="D28" s="76">
        <v>2</v>
      </c>
      <c r="E28" s="1" t="s">
        <v>7</v>
      </c>
      <c r="F28" s="1" t="s">
        <v>14</v>
      </c>
      <c r="G28" s="1">
        <v>72</v>
      </c>
      <c r="H28" s="1">
        <v>85</v>
      </c>
      <c r="I28" s="1">
        <v>81</v>
      </c>
    </row>
    <row r="29" spans="1:9" x14ac:dyDescent="0.25">
      <c r="A29" s="2" t="s">
        <v>1</v>
      </c>
      <c r="B29" s="1" t="s">
        <v>9</v>
      </c>
      <c r="C29" s="76" t="s">
        <v>54</v>
      </c>
      <c r="D29" s="76">
        <v>3</v>
      </c>
      <c r="E29" s="1" t="s">
        <v>7</v>
      </c>
      <c r="F29" s="1" t="s">
        <v>14</v>
      </c>
      <c r="G29" s="1">
        <v>51</v>
      </c>
      <c r="H29" s="1">
        <v>69</v>
      </c>
      <c r="I29" s="1">
        <v>65</v>
      </c>
    </row>
    <row r="30" spans="1:9" x14ac:dyDescent="0.25">
      <c r="A30" s="2" t="s">
        <v>1</v>
      </c>
      <c r="B30" s="1" t="s">
        <v>9</v>
      </c>
      <c r="C30" s="76" t="s">
        <v>54</v>
      </c>
      <c r="D30" s="76">
        <v>4</v>
      </c>
      <c r="E30" s="1" t="s">
        <v>7</v>
      </c>
      <c r="F30" s="1" t="s">
        <v>14</v>
      </c>
      <c r="G30" s="1">
        <v>73</v>
      </c>
      <c r="H30" s="1">
        <v>76</v>
      </c>
      <c r="I30" s="1">
        <v>74</v>
      </c>
    </row>
    <row r="31" spans="1:9" x14ac:dyDescent="0.25">
      <c r="A31" s="2" t="s">
        <v>1</v>
      </c>
      <c r="B31" s="1" t="s">
        <v>9</v>
      </c>
      <c r="C31" s="76" t="s">
        <v>54</v>
      </c>
      <c r="D31" s="76">
        <v>5</v>
      </c>
      <c r="E31" s="1" t="s">
        <v>7</v>
      </c>
      <c r="F31" s="1" t="s">
        <v>14</v>
      </c>
      <c r="G31" s="1">
        <v>61</v>
      </c>
      <c r="H31" s="1">
        <v>65</v>
      </c>
      <c r="I31" s="1">
        <v>59</v>
      </c>
    </row>
    <row r="32" spans="1:9" x14ac:dyDescent="0.25">
      <c r="A32" s="2" t="s">
        <v>1</v>
      </c>
      <c r="B32" s="1" t="s">
        <v>9</v>
      </c>
      <c r="C32" s="76" t="s">
        <v>54</v>
      </c>
      <c r="D32" s="76">
        <v>6</v>
      </c>
      <c r="E32" s="1" t="s">
        <v>7</v>
      </c>
      <c r="F32" s="1" t="s">
        <v>14</v>
      </c>
      <c r="G32" s="1">
        <v>72</v>
      </c>
      <c r="H32" s="1">
        <v>77</v>
      </c>
      <c r="I32" s="1">
        <v>77</v>
      </c>
    </row>
    <row r="33" spans="1:9" x14ac:dyDescent="0.25">
      <c r="A33" s="2" t="s">
        <v>1</v>
      </c>
      <c r="B33" s="1" t="s">
        <v>9</v>
      </c>
      <c r="C33" s="76" t="s">
        <v>54</v>
      </c>
      <c r="D33" s="76">
        <v>7</v>
      </c>
      <c r="E33" s="1" t="s">
        <v>7</v>
      </c>
      <c r="F33" s="1" t="s">
        <v>15</v>
      </c>
      <c r="G33" s="1">
        <v>73</v>
      </c>
      <c r="H33" s="1">
        <v>68</v>
      </c>
      <c r="I33" s="1">
        <v>81</v>
      </c>
    </row>
    <row r="34" spans="1:9" x14ac:dyDescent="0.25">
      <c r="A34" s="2" t="s">
        <v>1</v>
      </c>
      <c r="B34" s="1" t="s">
        <v>9</v>
      </c>
      <c r="C34" s="76" t="s">
        <v>54</v>
      </c>
      <c r="D34" s="76">
        <v>8</v>
      </c>
      <c r="E34" s="1" t="s">
        <v>73</v>
      </c>
      <c r="F34" s="1" t="s">
        <v>14</v>
      </c>
      <c r="G34" s="1">
        <v>58</v>
      </c>
      <c r="H34" s="1">
        <v>75</v>
      </c>
      <c r="I34" s="1">
        <v>78</v>
      </c>
    </row>
    <row r="35" spans="1:9" x14ac:dyDescent="0.25">
      <c r="A35" s="2" t="s">
        <v>1</v>
      </c>
      <c r="B35" s="1" t="s">
        <v>9</v>
      </c>
      <c r="C35" s="76" t="s">
        <v>54</v>
      </c>
      <c r="D35" s="76">
        <v>9</v>
      </c>
      <c r="E35" s="1" t="s">
        <v>73</v>
      </c>
      <c r="F35" s="1" t="s">
        <v>14</v>
      </c>
      <c r="G35" s="1">
        <v>41</v>
      </c>
      <c r="H35" s="1">
        <v>49</v>
      </c>
      <c r="I35" s="1">
        <v>51</v>
      </c>
    </row>
    <row r="36" spans="1:9" x14ac:dyDescent="0.25">
      <c r="A36" s="2" t="s">
        <v>1</v>
      </c>
      <c r="B36" s="1" t="s">
        <v>9</v>
      </c>
      <c r="C36" s="77" t="s">
        <v>42</v>
      </c>
      <c r="D36" s="77">
        <v>1</v>
      </c>
      <c r="E36" s="1" t="s">
        <v>7</v>
      </c>
      <c r="F36" s="1" t="s">
        <v>14</v>
      </c>
      <c r="G36" s="1">
        <v>51</v>
      </c>
      <c r="H36" s="1">
        <v>46</v>
      </c>
      <c r="I36" s="1">
        <v>42</v>
      </c>
    </row>
    <row r="37" spans="1:9" x14ac:dyDescent="0.25">
      <c r="A37" s="2" t="s">
        <v>1</v>
      </c>
      <c r="B37" s="1" t="s">
        <v>9</v>
      </c>
      <c r="C37" s="77" t="s">
        <v>42</v>
      </c>
      <c r="D37" s="77">
        <v>2</v>
      </c>
      <c r="E37" s="1" t="s">
        <v>7</v>
      </c>
      <c r="F37" s="1" t="s">
        <v>14</v>
      </c>
      <c r="G37" s="1">
        <v>62</v>
      </c>
      <c r="H37" s="1">
        <v>64</v>
      </c>
      <c r="I37" s="1">
        <v>63</v>
      </c>
    </row>
    <row r="38" spans="1:9" x14ac:dyDescent="0.25">
      <c r="A38" s="2" t="s">
        <v>1</v>
      </c>
      <c r="B38" s="1" t="s">
        <v>9</v>
      </c>
      <c r="C38" s="77" t="s">
        <v>42</v>
      </c>
      <c r="D38" s="77">
        <v>3</v>
      </c>
      <c r="E38" s="1" t="s">
        <v>7</v>
      </c>
      <c r="F38" s="1" t="s">
        <v>14</v>
      </c>
      <c r="G38" s="1">
        <v>83</v>
      </c>
      <c r="H38" s="1">
        <v>91</v>
      </c>
      <c r="I38" s="1">
        <v>92</v>
      </c>
    </row>
    <row r="39" spans="1:9" x14ac:dyDescent="0.25">
      <c r="A39" s="2" t="s">
        <v>1</v>
      </c>
      <c r="B39" s="1" t="s">
        <v>9</v>
      </c>
      <c r="C39" s="77" t="s">
        <v>42</v>
      </c>
      <c r="D39" s="77">
        <v>4</v>
      </c>
      <c r="E39" s="1" t="s">
        <v>73</v>
      </c>
      <c r="F39" s="1" t="s">
        <v>14</v>
      </c>
      <c r="G39" s="1">
        <v>54</v>
      </c>
      <c r="H39" s="1">
        <v>56</v>
      </c>
      <c r="I39" s="1">
        <v>58</v>
      </c>
    </row>
    <row r="40" spans="1:9" x14ac:dyDescent="0.25">
      <c r="A40" s="2" t="s">
        <v>1</v>
      </c>
      <c r="B40" s="1" t="s">
        <v>9</v>
      </c>
      <c r="C40" s="77" t="s">
        <v>42</v>
      </c>
      <c r="D40" s="77">
        <v>5</v>
      </c>
      <c r="E40" s="1" t="s">
        <v>73</v>
      </c>
      <c r="F40" s="1" t="s">
        <v>15</v>
      </c>
      <c r="G40" s="1">
        <v>75</v>
      </c>
      <c r="H40" s="1">
        <v>97</v>
      </c>
      <c r="I40" s="1">
        <v>92</v>
      </c>
    </row>
    <row r="41" spans="1:9" x14ac:dyDescent="0.25">
      <c r="A41" s="2" t="s">
        <v>1</v>
      </c>
      <c r="B41" s="1" t="s">
        <v>9</v>
      </c>
      <c r="C41" s="78" t="s">
        <v>52</v>
      </c>
      <c r="D41" s="78">
        <v>1</v>
      </c>
      <c r="E41" s="1" t="s">
        <v>7</v>
      </c>
      <c r="F41" s="1" t="s">
        <v>15</v>
      </c>
      <c r="G41" s="1">
        <v>73</v>
      </c>
      <c r="H41" s="1">
        <v>79</v>
      </c>
      <c r="I41" s="1">
        <v>81</v>
      </c>
    </row>
    <row r="42" spans="1:9" x14ac:dyDescent="0.25">
      <c r="A42" s="2" t="s">
        <v>1</v>
      </c>
      <c r="B42" s="1" t="s">
        <v>9</v>
      </c>
      <c r="C42" s="78" t="s">
        <v>52</v>
      </c>
      <c r="D42" s="78">
        <v>2</v>
      </c>
      <c r="E42" s="1" t="s">
        <v>7</v>
      </c>
      <c r="F42" s="1" t="s">
        <v>15</v>
      </c>
      <c r="G42" s="1">
        <v>66</v>
      </c>
      <c r="H42" s="1">
        <v>80</v>
      </c>
      <c r="I42" s="1">
        <v>75</v>
      </c>
    </row>
    <row r="43" spans="1:9" x14ac:dyDescent="0.25">
      <c r="A43" s="2" t="s">
        <v>1</v>
      </c>
      <c r="B43" s="1" t="s">
        <v>9</v>
      </c>
      <c r="C43" s="78" t="s">
        <v>52</v>
      </c>
      <c r="D43" s="78">
        <v>3</v>
      </c>
      <c r="E43" s="1" t="s">
        <v>73</v>
      </c>
      <c r="F43" s="1" t="s">
        <v>14</v>
      </c>
      <c r="G43" s="1">
        <v>62</v>
      </c>
      <c r="H43" s="1">
        <v>75</v>
      </c>
      <c r="I43" s="1">
        <v>73</v>
      </c>
    </row>
    <row r="44" spans="1:9" x14ac:dyDescent="0.25">
      <c r="A44" s="2" t="s">
        <v>1</v>
      </c>
      <c r="B44" s="1" t="s">
        <v>9</v>
      </c>
      <c r="C44" s="78" t="s">
        <v>52</v>
      </c>
      <c r="D44" s="78">
        <v>4</v>
      </c>
      <c r="E44" s="1" t="s">
        <v>73</v>
      </c>
      <c r="F44" s="1" t="s">
        <v>14</v>
      </c>
      <c r="G44" s="1">
        <v>65</v>
      </c>
      <c r="H44" s="1">
        <v>64</v>
      </c>
      <c r="I44" s="1">
        <v>73</v>
      </c>
    </row>
    <row r="45" spans="1:9" x14ac:dyDescent="0.25">
      <c r="A45" s="2" t="s">
        <v>1</v>
      </c>
      <c r="B45" s="1" t="s">
        <v>9</v>
      </c>
      <c r="C45" s="79" t="s">
        <v>59</v>
      </c>
      <c r="D45" s="79">
        <v>1</v>
      </c>
      <c r="E45" s="1" t="s">
        <v>7</v>
      </c>
      <c r="F45" s="1" t="s">
        <v>14</v>
      </c>
      <c r="G45" s="1">
        <v>68</v>
      </c>
      <c r="H45" s="1">
        <v>70</v>
      </c>
      <c r="I45" s="1">
        <v>72</v>
      </c>
    </row>
    <row r="46" spans="1:9" x14ac:dyDescent="0.25">
      <c r="A46" s="2" t="s">
        <v>1</v>
      </c>
      <c r="B46" s="1" t="s">
        <v>9</v>
      </c>
      <c r="C46" s="79" t="s">
        <v>59</v>
      </c>
      <c r="D46" s="79">
        <v>2</v>
      </c>
      <c r="E46" s="1" t="s">
        <v>7</v>
      </c>
      <c r="F46" s="1" t="s">
        <v>15</v>
      </c>
      <c r="G46" s="1">
        <v>68</v>
      </c>
      <c r="H46" s="1">
        <v>76</v>
      </c>
      <c r="I46" s="1">
        <v>76</v>
      </c>
    </row>
    <row r="47" spans="1:9" x14ac:dyDescent="0.25">
      <c r="A47" s="2" t="s">
        <v>1</v>
      </c>
      <c r="B47" s="1" t="s">
        <v>10</v>
      </c>
      <c r="C47" s="74" t="s">
        <v>53</v>
      </c>
      <c r="D47" s="74">
        <v>9</v>
      </c>
      <c r="E47" s="1" t="s">
        <v>7</v>
      </c>
      <c r="F47" s="1" t="s">
        <v>14</v>
      </c>
      <c r="G47" s="1">
        <v>46</v>
      </c>
      <c r="H47" s="1">
        <v>61</v>
      </c>
      <c r="I47" s="1">
        <v>58</v>
      </c>
    </row>
    <row r="48" spans="1:9" x14ac:dyDescent="0.25">
      <c r="A48" s="2" t="s">
        <v>1</v>
      </c>
      <c r="B48" s="1" t="s">
        <v>10</v>
      </c>
      <c r="C48" s="74" t="s">
        <v>53</v>
      </c>
      <c r="D48" s="74">
        <v>10</v>
      </c>
      <c r="E48" s="1" t="s">
        <v>7</v>
      </c>
      <c r="F48" s="1" t="s">
        <v>14</v>
      </c>
      <c r="G48" s="1">
        <v>62</v>
      </c>
      <c r="H48" s="1">
        <v>78</v>
      </c>
      <c r="I48" s="1">
        <v>74</v>
      </c>
    </row>
    <row r="49" spans="1:9" x14ac:dyDescent="0.25">
      <c r="A49" s="2" t="s">
        <v>1</v>
      </c>
      <c r="B49" s="1" t="s">
        <v>10</v>
      </c>
      <c r="C49" s="74" t="s">
        <v>53</v>
      </c>
      <c r="D49" s="74">
        <v>11</v>
      </c>
      <c r="E49" s="1" t="s">
        <v>7</v>
      </c>
      <c r="F49" s="1" t="s">
        <v>14</v>
      </c>
      <c r="G49" s="1">
        <v>60</v>
      </c>
      <c r="H49" s="1">
        <v>73</v>
      </c>
      <c r="I49" s="1">
        <v>68</v>
      </c>
    </row>
    <row r="50" spans="1:9" x14ac:dyDescent="0.25">
      <c r="A50" s="2" t="s">
        <v>1</v>
      </c>
      <c r="B50" s="1" t="s">
        <v>10</v>
      </c>
      <c r="C50" s="74" t="s">
        <v>53</v>
      </c>
      <c r="D50" s="74">
        <v>12</v>
      </c>
      <c r="E50" s="1" t="s">
        <v>7</v>
      </c>
      <c r="F50" s="1" t="s">
        <v>14</v>
      </c>
      <c r="G50" s="1">
        <v>44</v>
      </c>
      <c r="H50" s="1">
        <v>56</v>
      </c>
      <c r="I50" s="1">
        <v>47</v>
      </c>
    </row>
    <row r="51" spans="1:9" x14ac:dyDescent="0.25">
      <c r="A51" s="2" t="s">
        <v>1</v>
      </c>
      <c r="B51" s="1" t="s">
        <v>10</v>
      </c>
      <c r="C51" s="74" t="s">
        <v>53</v>
      </c>
      <c r="D51" s="74">
        <v>13</v>
      </c>
      <c r="E51" s="1" t="s">
        <v>7</v>
      </c>
      <c r="F51" s="1" t="s">
        <v>14</v>
      </c>
      <c r="G51" s="1">
        <v>48</v>
      </c>
      <c r="H51" s="1">
        <v>59</v>
      </c>
      <c r="I51" s="1">
        <v>55</v>
      </c>
    </row>
    <row r="52" spans="1:9" x14ac:dyDescent="0.25">
      <c r="A52" s="2" t="s">
        <v>1</v>
      </c>
      <c r="B52" s="1" t="s">
        <v>10</v>
      </c>
      <c r="C52" s="74" t="s">
        <v>53</v>
      </c>
      <c r="D52" s="74">
        <v>14</v>
      </c>
      <c r="E52" s="1" t="s">
        <v>7</v>
      </c>
      <c r="F52" s="1" t="s">
        <v>14</v>
      </c>
      <c r="G52" s="1">
        <v>37</v>
      </c>
      <c r="H52" s="1">
        <v>51</v>
      </c>
      <c r="I52" s="1">
        <v>43</v>
      </c>
    </row>
    <row r="53" spans="1:9" x14ac:dyDescent="0.25">
      <c r="A53" s="2" t="s">
        <v>1</v>
      </c>
      <c r="B53" s="1" t="s">
        <v>10</v>
      </c>
      <c r="C53" s="74" t="s">
        <v>53</v>
      </c>
      <c r="D53" s="74">
        <v>15</v>
      </c>
      <c r="E53" s="1" t="s">
        <v>7</v>
      </c>
      <c r="F53" s="1" t="s">
        <v>14</v>
      </c>
      <c r="G53" s="1">
        <v>67</v>
      </c>
      <c r="H53" s="1">
        <v>73</v>
      </c>
      <c r="I53" s="1">
        <v>76</v>
      </c>
    </row>
    <row r="54" spans="1:9" x14ac:dyDescent="0.25">
      <c r="A54" s="2" t="s">
        <v>1</v>
      </c>
      <c r="B54" s="1" t="s">
        <v>10</v>
      </c>
      <c r="C54" s="74" t="s">
        <v>53</v>
      </c>
      <c r="D54" s="74">
        <v>16</v>
      </c>
      <c r="E54" s="1" t="s">
        <v>7</v>
      </c>
      <c r="F54" s="1" t="s">
        <v>14</v>
      </c>
      <c r="G54" s="1">
        <v>83</v>
      </c>
      <c r="H54" s="1">
        <v>86</v>
      </c>
      <c r="I54" s="1">
        <v>89</v>
      </c>
    </row>
    <row r="55" spans="1:9" x14ac:dyDescent="0.25">
      <c r="A55" s="2" t="s">
        <v>1</v>
      </c>
      <c r="B55" s="1" t="s">
        <v>10</v>
      </c>
      <c r="C55" s="74" t="s">
        <v>53</v>
      </c>
      <c r="D55" s="74">
        <v>17</v>
      </c>
      <c r="E55" s="1" t="s">
        <v>7</v>
      </c>
      <c r="F55" s="1" t="s">
        <v>14</v>
      </c>
      <c r="G55" s="1">
        <v>52</v>
      </c>
      <c r="H55" s="1">
        <v>65</v>
      </c>
      <c r="I55" s="1">
        <v>60</v>
      </c>
    </row>
    <row r="56" spans="1:9" x14ac:dyDescent="0.25">
      <c r="A56" s="2" t="s">
        <v>1</v>
      </c>
      <c r="B56" s="1" t="s">
        <v>10</v>
      </c>
      <c r="C56" s="74" t="s">
        <v>53</v>
      </c>
      <c r="D56" s="74">
        <v>18</v>
      </c>
      <c r="E56" s="1" t="s">
        <v>7</v>
      </c>
      <c r="F56" s="1" t="s">
        <v>14</v>
      </c>
      <c r="G56" s="1">
        <v>44</v>
      </c>
      <c r="H56" s="1">
        <v>65</v>
      </c>
      <c r="I56" s="1">
        <v>59</v>
      </c>
    </row>
    <row r="57" spans="1:9" x14ac:dyDescent="0.25">
      <c r="A57" s="2" t="s">
        <v>1</v>
      </c>
      <c r="B57" s="1" t="s">
        <v>10</v>
      </c>
      <c r="C57" s="74" t="s">
        <v>53</v>
      </c>
      <c r="D57" s="74">
        <v>19</v>
      </c>
      <c r="E57" s="1" t="s">
        <v>7</v>
      </c>
      <c r="F57" s="1" t="s">
        <v>15</v>
      </c>
      <c r="G57" s="1">
        <v>69</v>
      </c>
      <c r="H57" s="1">
        <v>76</v>
      </c>
      <c r="I57" s="1">
        <v>72</v>
      </c>
    </row>
    <row r="58" spans="1:9" x14ac:dyDescent="0.25">
      <c r="A58" s="2" t="s">
        <v>1</v>
      </c>
      <c r="B58" s="1" t="s">
        <v>10</v>
      </c>
      <c r="C58" s="74" t="s">
        <v>53</v>
      </c>
      <c r="D58" s="74">
        <v>20</v>
      </c>
      <c r="E58" s="1" t="s">
        <v>73</v>
      </c>
      <c r="F58" s="1" t="s">
        <v>14</v>
      </c>
      <c r="G58" s="1">
        <v>65</v>
      </c>
      <c r="H58" s="1">
        <v>83</v>
      </c>
      <c r="I58" s="1">
        <v>77</v>
      </c>
    </row>
    <row r="59" spans="1:9" x14ac:dyDescent="0.25">
      <c r="A59" s="2" t="s">
        <v>1</v>
      </c>
      <c r="B59" s="1" t="s">
        <v>10</v>
      </c>
      <c r="C59" s="74" t="s">
        <v>53</v>
      </c>
      <c r="D59" s="74">
        <v>21</v>
      </c>
      <c r="E59" s="1" t="s">
        <v>73</v>
      </c>
      <c r="F59" s="1" t="s">
        <v>14</v>
      </c>
      <c r="G59" s="1">
        <v>61</v>
      </c>
      <c r="H59" s="1">
        <v>80</v>
      </c>
      <c r="I59" s="1">
        <v>82</v>
      </c>
    </row>
    <row r="60" spans="1:9" x14ac:dyDescent="0.25">
      <c r="A60" s="2" t="s">
        <v>1</v>
      </c>
      <c r="B60" s="1" t="s">
        <v>10</v>
      </c>
      <c r="C60" s="74" t="s">
        <v>53</v>
      </c>
      <c r="D60" s="74">
        <v>22</v>
      </c>
      <c r="E60" s="1" t="s">
        <v>73</v>
      </c>
      <c r="F60" s="1" t="s">
        <v>14</v>
      </c>
      <c r="G60" s="1">
        <v>36</v>
      </c>
      <c r="H60" s="1">
        <v>51</v>
      </c>
      <c r="I60" s="1">
        <v>49</v>
      </c>
    </row>
    <row r="61" spans="1:9" x14ac:dyDescent="0.25">
      <c r="A61" s="2" t="s">
        <v>1</v>
      </c>
      <c r="B61" s="1" t="s">
        <v>10</v>
      </c>
      <c r="C61" s="74" t="s">
        <v>53</v>
      </c>
      <c r="D61" s="74">
        <v>23</v>
      </c>
      <c r="E61" s="1" t="s">
        <v>73</v>
      </c>
      <c r="F61" s="1" t="s">
        <v>14</v>
      </c>
      <c r="G61" s="1">
        <v>55</v>
      </c>
      <c r="H61" s="1">
        <v>70</v>
      </c>
      <c r="I61" s="1">
        <v>60</v>
      </c>
    </row>
    <row r="62" spans="1:9" x14ac:dyDescent="0.25">
      <c r="A62" s="2" t="s">
        <v>1</v>
      </c>
      <c r="B62" s="1" t="s">
        <v>10</v>
      </c>
      <c r="C62" s="74" t="s">
        <v>53</v>
      </c>
      <c r="D62" s="74">
        <v>24</v>
      </c>
      <c r="E62" s="1" t="s">
        <v>73</v>
      </c>
      <c r="F62" s="1" t="s">
        <v>14</v>
      </c>
      <c r="G62" s="1">
        <v>36</v>
      </c>
      <c r="H62" s="1">
        <v>52</v>
      </c>
      <c r="I62" s="1">
        <v>51</v>
      </c>
    </row>
    <row r="63" spans="1:9" x14ac:dyDescent="0.25">
      <c r="A63" s="2" t="s">
        <v>1</v>
      </c>
      <c r="B63" s="1" t="s">
        <v>10</v>
      </c>
      <c r="C63" s="74" t="s">
        <v>53</v>
      </c>
      <c r="D63" s="74">
        <v>25</v>
      </c>
      <c r="E63" s="1" t="s">
        <v>73</v>
      </c>
      <c r="F63" s="1" t="s">
        <v>15</v>
      </c>
      <c r="G63" s="1">
        <v>73</v>
      </c>
      <c r="H63" s="1">
        <v>91</v>
      </c>
      <c r="I63" s="1">
        <v>88</v>
      </c>
    </row>
    <row r="64" spans="1:9" x14ac:dyDescent="0.25">
      <c r="A64" s="2" t="s">
        <v>1</v>
      </c>
      <c r="B64" s="1" t="s">
        <v>10</v>
      </c>
      <c r="C64" s="74" t="s">
        <v>53</v>
      </c>
      <c r="D64" s="74">
        <v>26</v>
      </c>
      <c r="E64" s="1" t="s">
        <v>73</v>
      </c>
      <c r="F64" s="1" t="s">
        <v>15</v>
      </c>
      <c r="G64" s="1">
        <v>46</v>
      </c>
      <c r="H64" s="1">
        <v>63</v>
      </c>
      <c r="I64" s="1">
        <v>66</v>
      </c>
    </row>
    <row r="65" spans="1:9" x14ac:dyDescent="0.25">
      <c r="A65" s="2" t="s">
        <v>1</v>
      </c>
      <c r="B65" s="1" t="s">
        <v>10</v>
      </c>
      <c r="C65" s="74" t="s">
        <v>53</v>
      </c>
      <c r="D65" s="74">
        <v>27</v>
      </c>
      <c r="E65" s="1" t="s">
        <v>73</v>
      </c>
      <c r="F65" s="1" t="s">
        <v>15</v>
      </c>
      <c r="G65" s="1">
        <v>64</v>
      </c>
      <c r="H65" s="1">
        <v>72</v>
      </c>
      <c r="I65" s="1">
        <v>79</v>
      </c>
    </row>
    <row r="66" spans="1:9" x14ac:dyDescent="0.25">
      <c r="A66" s="2" t="s">
        <v>1</v>
      </c>
      <c r="B66" s="1" t="s">
        <v>10</v>
      </c>
      <c r="C66" s="74" t="s">
        <v>53</v>
      </c>
      <c r="D66" s="74">
        <v>28</v>
      </c>
      <c r="E66" s="1" t="s">
        <v>73</v>
      </c>
      <c r="F66" s="1" t="s">
        <v>15</v>
      </c>
      <c r="G66" s="1">
        <v>37</v>
      </c>
      <c r="H66" s="1">
        <v>48</v>
      </c>
      <c r="I66" s="1">
        <v>46</v>
      </c>
    </row>
    <row r="67" spans="1:9" x14ac:dyDescent="0.25">
      <c r="A67" s="2" t="s">
        <v>1</v>
      </c>
      <c r="B67" s="1" t="s">
        <v>10</v>
      </c>
      <c r="C67" s="75" t="s">
        <v>6</v>
      </c>
      <c r="D67" s="75">
        <v>14</v>
      </c>
      <c r="E67" s="1" t="s">
        <v>7</v>
      </c>
      <c r="F67" s="1" t="s">
        <v>14</v>
      </c>
      <c r="G67" s="1">
        <v>52</v>
      </c>
      <c r="H67" s="1">
        <v>56</v>
      </c>
      <c r="I67" s="1">
        <v>54</v>
      </c>
    </row>
    <row r="68" spans="1:9" x14ac:dyDescent="0.25">
      <c r="A68" s="2" t="s">
        <v>1</v>
      </c>
      <c r="B68" s="1" t="s">
        <v>10</v>
      </c>
      <c r="C68" s="75" t="s">
        <v>6</v>
      </c>
      <c r="D68" s="75">
        <v>15</v>
      </c>
      <c r="E68" s="1" t="s">
        <v>7</v>
      </c>
      <c r="F68" s="1" t="s">
        <v>14</v>
      </c>
      <c r="G68" s="1">
        <v>55</v>
      </c>
      <c r="H68" s="1">
        <v>60</v>
      </c>
      <c r="I68" s="1">
        <v>67</v>
      </c>
    </row>
    <row r="69" spans="1:9" x14ac:dyDescent="0.25">
      <c r="A69" s="2" t="s">
        <v>1</v>
      </c>
      <c r="B69" s="1" t="s">
        <v>10</v>
      </c>
      <c r="C69" s="75" t="s">
        <v>6</v>
      </c>
      <c r="D69" s="75">
        <v>16</v>
      </c>
      <c r="E69" s="1" t="s">
        <v>7</v>
      </c>
      <c r="F69" s="1" t="s">
        <v>14</v>
      </c>
      <c r="G69" s="1">
        <v>59</v>
      </c>
      <c r="H69" s="1">
        <v>72</v>
      </c>
      <c r="I69" s="1">
        <v>67</v>
      </c>
    </row>
    <row r="70" spans="1:9" x14ac:dyDescent="0.25">
      <c r="A70" s="2" t="s">
        <v>1</v>
      </c>
      <c r="B70" s="1" t="s">
        <v>10</v>
      </c>
      <c r="C70" s="75" t="s">
        <v>6</v>
      </c>
      <c r="D70" s="75">
        <v>17</v>
      </c>
      <c r="E70" s="1" t="s">
        <v>7</v>
      </c>
      <c r="F70" s="1" t="s">
        <v>14</v>
      </c>
      <c r="G70" s="1">
        <v>63</v>
      </c>
      <c r="H70" s="1">
        <v>76</v>
      </c>
      <c r="I70" s="1">
        <v>67</v>
      </c>
    </row>
    <row r="71" spans="1:9" x14ac:dyDescent="0.25">
      <c r="A71" s="2" t="s">
        <v>1</v>
      </c>
      <c r="B71" s="1" t="s">
        <v>10</v>
      </c>
      <c r="C71" s="75" t="s">
        <v>6</v>
      </c>
      <c r="D71" s="75">
        <v>18</v>
      </c>
      <c r="E71" s="1" t="s">
        <v>7</v>
      </c>
      <c r="F71" s="1" t="s">
        <v>14</v>
      </c>
      <c r="G71" s="1">
        <v>54</v>
      </c>
      <c r="H71" s="1">
        <v>56</v>
      </c>
      <c r="I71" s="1">
        <v>59</v>
      </c>
    </row>
    <row r="72" spans="1:9" x14ac:dyDescent="0.25">
      <c r="A72" s="2" t="s">
        <v>1</v>
      </c>
      <c r="B72" s="1" t="s">
        <v>10</v>
      </c>
      <c r="C72" s="75" t="s">
        <v>6</v>
      </c>
      <c r="D72" s="75">
        <v>19</v>
      </c>
      <c r="E72" s="1" t="s">
        <v>7</v>
      </c>
      <c r="F72" s="1" t="s">
        <v>14</v>
      </c>
      <c r="G72" s="1">
        <v>65</v>
      </c>
      <c r="H72" s="1">
        <v>68</v>
      </c>
      <c r="I72" s="1">
        <v>67</v>
      </c>
    </row>
    <row r="73" spans="1:9" x14ac:dyDescent="0.25">
      <c r="A73" s="2" t="s">
        <v>1</v>
      </c>
      <c r="B73" s="1" t="s">
        <v>10</v>
      </c>
      <c r="C73" s="75" t="s">
        <v>6</v>
      </c>
      <c r="D73" s="75">
        <v>20</v>
      </c>
      <c r="E73" s="1" t="s">
        <v>7</v>
      </c>
      <c r="F73" s="1" t="s">
        <v>14</v>
      </c>
      <c r="G73" s="1">
        <v>45</v>
      </c>
      <c r="H73" s="1">
        <v>52</v>
      </c>
      <c r="I73" s="1">
        <v>51</v>
      </c>
    </row>
    <row r="74" spans="1:9" x14ac:dyDescent="0.25">
      <c r="A74" s="2" t="s">
        <v>1</v>
      </c>
      <c r="B74" s="1" t="s">
        <v>10</v>
      </c>
      <c r="C74" s="75" t="s">
        <v>6</v>
      </c>
      <c r="D74" s="75">
        <v>21</v>
      </c>
      <c r="E74" s="1" t="s">
        <v>7</v>
      </c>
      <c r="F74" s="1" t="s">
        <v>14</v>
      </c>
      <c r="G74" s="1">
        <v>74</v>
      </c>
      <c r="H74" s="1">
        <v>90</v>
      </c>
      <c r="I74" s="1">
        <v>83</v>
      </c>
    </row>
    <row r="75" spans="1:9" x14ac:dyDescent="0.25">
      <c r="A75" s="2" t="s">
        <v>1</v>
      </c>
      <c r="B75" s="1" t="s">
        <v>10</v>
      </c>
      <c r="C75" s="75" t="s">
        <v>6</v>
      </c>
      <c r="D75" s="75">
        <v>22</v>
      </c>
      <c r="E75" s="1" t="s">
        <v>7</v>
      </c>
      <c r="F75" s="1" t="s">
        <v>15</v>
      </c>
      <c r="G75" s="1">
        <v>66</v>
      </c>
      <c r="H75" s="1">
        <v>62</v>
      </c>
      <c r="I75" s="1">
        <v>66</v>
      </c>
    </row>
    <row r="76" spans="1:9" x14ac:dyDescent="0.25">
      <c r="A76" s="2" t="s">
        <v>1</v>
      </c>
      <c r="B76" s="1" t="s">
        <v>10</v>
      </c>
      <c r="C76" s="75" t="s">
        <v>6</v>
      </c>
      <c r="D76" s="75">
        <v>23</v>
      </c>
      <c r="E76" s="1" t="s">
        <v>7</v>
      </c>
      <c r="F76" s="1" t="s">
        <v>15</v>
      </c>
      <c r="G76" s="1">
        <v>81</v>
      </c>
      <c r="H76" s="1">
        <v>89</v>
      </c>
      <c r="I76" s="1">
        <v>88</v>
      </c>
    </row>
    <row r="77" spans="1:9" x14ac:dyDescent="0.25">
      <c r="A77" s="2" t="s">
        <v>1</v>
      </c>
      <c r="B77" s="1" t="s">
        <v>10</v>
      </c>
      <c r="C77" s="75" t="s">
        <v>6</v>
      </c>
      <c r="D77" s="75">
        <v>24</v>
      </c>
      <c r="E77" s="1" t="s">
        <v>7</v>
      </c>
      <c r="F77" s="1" t="s">
        <v>15</v>
      </c>
      <c r="G77" s="1">
        <v>72</v>
      </c>
      <c r="H77" s="1">
        <v>73</v>
      </c>
      <c r="I77" s="1">
        <v>72</v>
      </c>
    </row>
    <row r="78" spans="1:9" x14ac:dyDescent="0.25">
      <c r="A78" s="2" t="s">
        <v>1</v>
      </c>
      <c r="B78" s="1" t="s">
        <v>10</v>
      </c>
      <c r="C78" s="75" t="s">
        <v>6</v>
      </c>
      <c r="D78" s="75">
        <v>25</v>
      </c>
      <c r="E78" s="1" t="s">
        <v>7</v>
      </c>
      <c r="F78" s="1" t="s">
        <v>15</v>
      </c>
      <c r="G78" s="1">
        <v>77</v>
      </c>
      <c r="H78" s="1">
        <v>83</v>
      </c>
      <c r="I78" s="1">
        <v>91</v>
      </c>
    </row>
    <row r="79" spans="1:9" x14ac:dyDescent="0.25">
      <c r="A79" s="2" t="s">
        <v>1</v>
      </c>
      <c r="B79" s="1" t="s">
        <v>10</v>
      </c>
      <c r="C79" s="75" t="s">
        <v>6</v>
      </c>
      <c r="D79" s="75">
        <v>26</v>
      </c>
      <c r="E79" s="1" t="s">
        <v>73</v>
      </c>
      <c r="F79" s="1" t="s">
        <v>14</v>
      </c>
      <c r="G79" s="1">
        <v>61</v>
      </c>
      <c r="H79" s="1">
        <v>74</v>
      </c>
      <c r="I79" s="1">
        <v>71</v>
      </c>
    </row>
    <row r="80" spans="1:9" x14ac:dyDescent="0.25">
      <c r="A80" s="2" t="s">
        <v>1</v>
      </c>
      <c r="B80" s="1" t="s">
        <v>10</v>
      </c>
      <c r="C80" s="75" t="s">
        <v>6</v>
      </c>
      <c r="D80" s="75">
        <v>27</v>
      </c>
      <c r="E80" s="1" t="s">
        <v>73</v>
      </c>
      <c r="F80" s="1" t="s">
        <v>14</v>
      </c>
      <c r="G80" s="1">
        <v>38</v>
      </c>
      <c r="H80" s="1">
        <v>55</v>
      </c>
      <c r="I80" s="1">
        <v>52</v>
      </c>
    </row>
    <row r="81" spans="1:9" x14ac:dyDescent="0.25">
      <c r="A81" s="2" t="s">
        <v>1</v>
      </c>
      <c r="B81" s="1" t="s">
        <v>10</v>
      </c>
      <c r="C81" s="75" t="s">
        <v>6</v>
      </c>
      <c r="D81" s="75">
        <v>28</v>
      </c>
      <c r="E81" s="1" t="s">
        <v>73</v>
      </c>
      <c r="F81" s="1" t="s">
        <v>14</v>
      </c>
      <c r="G81" s="1">
        <v>67</v>
      </c>
      <c r="H81" s="1">
        <v>77</v>
      </c>
      <c r="I81" s="1">
        <v>81</v>
      </c>
    </row>
    <row r="82" spans="1:9" x14ac:dyDescent="0.25">
      <c r="A82" s="2" t="s">
        <v>1</v>
      </c>
      <c r="B82" s="1" t="s">
        <v>10</v>
      </c>
      <c r="C82" s="75" t="s">
        <v>6</v>
      </c>
      <c r="D82" s="75">
        <v>29</v>
      </c>
      <c r="E82" s="1" t="s">
        <v>73</v>
      </c>
      <c r="F82" s="1" t="s">
        <v>14</v>
      </c>
      <c r="G82" s="1">
        <v>46</v>
      </c>
      <c r="H82" s="1">
        <v>57</v>
      </c>
      <c r="I82" s="1">
        <v>53</v>
      </c>
    </row>
    <row r="83" spans="1:9" x14ac:dyDescent="0.25">
      <c r="A83" s="2" t="s">
        <v>1</v>
      </c>
      <c r="B83" s="1" t="s">
        <v>10</v>
      </c>
      <c r="C83" s="75" t="s">
        <v>6</v>
      </c>
      <c r="D83" s="75">
        <v>30</v>
      </c>
      <c r="E83" s="1" t="s">
        <v>73</v>
      </c>
      <c r="F83" s="1" t="s">
        <v>14</v>
      </c>
      <c r="G83" s="1">
        <v>55</v>
      </c>
      <c r="H83" s="1">
        <v>68</v>
      </c>
      <c r="I83" s="1">
        <v>66</v>
      </c>
    </row>
    <row r="84" spans="1:9" x14ac:dyDescent="0.25">
      <c r="A84" s="2" t="s">
        <v>1</v>
      </c>
      <c r="B84" s="1" t="s">
        <v>10</v>
      </c>
      <c r="C84" s="75" t="s">
        <v>6</v>
      </c>
      <c r="D84" s="75">
        <v>31</v>
      </c>
      <c r="E84" s="1" t="s">
        <v>73</v>
      </c>
      <c r="F84" s="1" t="s">
        <v>14</v>
      </c>
      <c r="G84" s="1">
        <v>58</v>
      </c>
      <c r="H84" s="1">
        <v>62</v>
      </c>
      <c r="I84" s="1">
        <v>54</v>
      </c>
    </row>
    <row r="85" spans="1:9" x14ac:dyDescent="0.25">
      <c r="A85" s="2" t="s">
        <v>1</v>
      </c>
      <c r="B85" s="1" t="s">
        <v>10</v>
      </c>
      <c r="C85" s="75" t="s">
        <v>6</v>
      </c>
      <c r="D85" s="75">
        <v>32</v>
      </c>
      <c r="E85" s="1" t="s">
        <v>73</v>
      </c>
      <c r="F85" s="1" t="s">
        <v>14</v>
      </c>
      <c r="G85" s="1">
        <v>49</v>
      </c>
      <c r="H85" s="1">
        <v>65</v>
      </c>
      <c r="I85" s="1">
        <v>62</v>
      </c>
    </row>
    <row r="86" spans="1:9" x14ac:dyDescent="0.25">
      <c r="A86" s="2" t="s">
        <v>1</v>
      </c>
      <c r="B86" s="1" t="s">
        <v>10</v>
      </c>
      <c r="C86" s="75" t="s">
        <v>6</v>
      </c>
      <c r="D86" s="75">
        <v>33</v>
      </c>
      <c r="E86" s="1" t="s">
        <v>73</v>
      </c>
      <c r="F86" s="1" t="s">
        <v>14</v>
      </c>
      <c r="G86" s="1">
        <v>39</v>
      </c>
      <c r="H86" s="1">
        <v>60</v>
      </c>
      <c r="I86" s="1">
        <v>52</v>
      </c>
    </row>
    <row r="87" spans="1:9" x14ac:dyDescent="0.25">
      <c r="A87" s="2" t="s">
        <v>1</v>
      </c>
      <c r="B87" s="1" t="s">
        <v>10</v>
      </c>
      <c r="C87" s="75" t="s">
        <v>6</v>
      </c>
      <c r="D87" s="75">
        <v>34</v>
      </c>
      <c r="E87" s="1" t="s">
        <v>73</v>
      </c>
      <c r="F87" s="1" t="s">
        <v>14</v>
      </c>
      <c r="G87" s="1">
        <v>59</v>
      </c>
      <c r="H87" s="1">
        <v>74</v>
      </c>
      <c r="I87" s="1">
        <v>68</v>
      </c>
    </row>
    <row r="88" spans="1:9" x14ac:dyDescent="0.25">
      <c r="A88" s="2" t="s">
        <v>1</v>
      </c>
      <c r="B88" s="1" t="s">
        <v>10</v>
      </c>
      <c r="C88" s="75" t="s">
        <v>6</v>
      </c>
      <c r="D88" s="75">
        <v>35</v>
      </c>
      <c r="E88" s="1" t="s">
        <v>73</v>
      </c>
      <c r="F88" s="1" t="s">
        <v>14</v>
      </c>
      <c r="G88" s="1">
        <v>30</v>
      </c>
      <c r="H88" s="1">
        <v>47</v>
      </c>
      <c r="I88" s="1">
        <v>46</v>
      </c>
    </row>
    <row r="89" spans="1:9" x14ac:dyDescent="0.25">
      <c r="A89" s="2" t="s">
        <v>1</v>
      </c>
      <c r="B89" s="1" t="s">
        <v>10</v>
      </c>
      <c r="C89" s="75" t="s">
        <v>6</v>
      </c>
      <c r="D89" s="75">
        <v>36</v>
      </c>
      <c r="E89" s="1" t="s">
        <v>73</v>
      </c>
      <c r="F89" s="1" t="s">
        <v>14</v>
      </c>
      <c r="G89" s="1">
        <v>51</v>
      </c>
      <c r="H89" s="1">
        <v>69</v>
      </c>
      <c r="I89" s="1">
        <v>64</v>
      </c>
    </row>
    <row r="90" spans="1:9" x14ac:dyDescent="0.25">
      <c r="A90" s="2" t="s">
        <v>1</v>
      </c>
      <c r="B90" s="1" t="s">
        <v>10</v>
      </c>
      <c r="C90" s="75" t="s">
        <v>6</v>
      </c>
      <c r="D90" s="75">
        <v>37</v>
      </c>
      <c r="E90" s="1" t="s">
        <v>73</v>
      </c>
      <c r="F90" s="1" t="s">
        <v>15</v>
      </c>
      <c r="G90" s="1">
        <v>69</v>
      </c>
      <c r="H90" s="1">
        <v>78</v>
      </c>
      <c r="I90" s="1">
        <v>75</v>
      </c>
    </row>
    <row r="91" spans="1:9" x14ac:dyDescent="0.25">
      <c r="A91" s="2" t="s">
        <v>1</v>
      </c>
      <c r="B91" s="1" t="s">
        <v>10</v>
      </c>
      <c r="C91" s="75" t="s">
        <v>6</v>
      </c>
      <c r="D91" s="75">
        <v>38</v>
      </c>
      <c r="E91" s="1" t="s">
        <v>73</v>
      </c>
      <c r="F91" s="1" t="s">
        <v>15</v>
      </c>
      <c r="G91" s="1">
        <v>75</v>
      </c>
      <c r="H91" s="1">
        <v>90</v>
      </c>
      <c r="I91" s="1">
        <v>95</v>
      </c>
    </row>
    <row r="92" spans="1:9" x14ac:dyDescent="0.25">
      <c r="A92" s="2" t="s">
        <v>1</v>
      </c>
      <c r="B92" s="1" t="s">
        <v>10</v>
      </c>
      <c r="C92" s="75" t="s">
        <v>6</v>
      </c>
      <c r="D92" s="75">
        <v>39</v>
      </c>
      <c r="E92" s="1" t="s">
        <v>73</v>
      </c>
      <c r="F92" s="1" t="s">
        <v>15</v>
      </c>
      <c r="G92" s="1">
        <v>45</v>
      </c>
      <c r="H92" s="1">
        <v>61</v>
      </c>
      <c r="I92" s="1">
        <v>63</v>
      </c>
    </row>
    <row r="93" spans="1:9" x14ac:dyDescent="0.25">
      <c r="A93" s="2" t="s">
        <v>1</v>
      </c>
      <c r="B93" s="1" t="s">
        <v>10</v>
      </c>
      <c r="C93" s="75" t="s">
        <v>6</v>
      </c>
      <c r="D93" s="75">
        <v>40</v>
      </c>
      <c r="E93" s="1" t="s">
        <v>73</v>
      </c>
      <c r="F93" s="1" t="s">
        <v>15</v>
      </c>
      <c r="G93" s="1">
        <v>60</v>
      </c>
      <c r="H93" s="1">
        <v>66</v>
      </c>
      <c r="I93" s="1">
        <v>64</v>
      </c>
    </row>
    <row r="94" spans="1:9" x14ac:dyDescent="0.25">
      <c r="A94" s="2" t="s">
        <v>1</v>
      </c>
      <c r="B94" s="1" t="s">
        <v>10</v>
      </c>
      <c r="C94" s="75" t="s">
        <v>6</v>
      </c>
      <c r="D94" s="75">
        <v>41</v>
      </c>
      <c r="E94" s="1" t="s">
        <v>73</v>
      </c>
      <c r="F94" s="1" t="s">
        <v>15</v>
      </c>
      <c r="G94" s="1">
        <v>49</v>
      </c>
      <c r="H94" s="1">
        <v>66</v>
      </c>
      <c r="I94" s="1">
        <v>60</v>
      </c>
    </row>
    <row r="95" spans="1:9" x14ac:dyDescent="0.25">
      <c r="A95" s="2" t="s">
        <v>1</v>
      </c>
      <c r="B95" s="1" t="s">
        <v>10</v>
      </c>
      <c r="C95" s="76" t="s">
        <v>54</v>
      </c>
      <c r="D95" s="76">
        <v>10</v>
      </c>
      <c r="E95" s="1" t="s">
        <v>7</v>
      </c>
      <c r="F95" s="1" t="s">
        <v>14</v>
      </c>
      <c r="G95" s="1">
        <v>73</v>
      </c>
      <c r="H95" s="1">
        <v>80</v>
      </c>
      <c r="I95" s="1">
        <v>78</v>
      </c>
    </row>
    <row r="96" spans="1:9" x14ac:dyDescent="0.25">
      <c r="A96" s="2" t="s">
        <v>1</v>
      </c>
      <c r="B96" s="1" t="s">
        <v>10</v>
      </c>
      <c r="C96" s="76" t="s">
        <v>54</v>
      </c>
      <c r="D96" s="76">
        <v>11</v>
      </c>
      <c r="E96" s="1" t="s">
        <v>7</v>
      </c>
      <c r="F96" s="1" t="s">
        <v>14</v>
      </c>
      <c r="G96" s="1">
        <v>81</v>
      </c>
      <c r="H96" s="1">
        <v>89</v>
      </c>
      <c r="I96" s="1">
        <v>86</v>
      </c>
    </row>
    <row r="97" spans="1:9" x14ac:dyDescent="0.25">
      <c r="A97" s="2" t="s">
        <v>1</v>
      </c>
      <c r="B97" s="1" t="s">
        <v>10</v>
      </c>
      <c r="C97" s="76" t="s">
        <v>54</v>
      </c>
      <c r="D97" s="76">
        <v>12</v>
      </c>
      <c r="E97" s="1" t="s">
        <v>7</v>
      </c>
      <c r="F97" s="1" t="s">
        <v>14</v>
      </c>
      <c r="G97" s="1">
        <v>62</v>
      </c>
      <c r="H97" s="1">
        <v>81</v>
      </c>
      <c r="I97" s="1">
        <v>77</v>
      </c>
    </row>
    <row r="98" spans="1:9" x14ac:dyDescent="0.25">
      <c r="A98" s="2" t="s">
        <v>1</v>
      </c>
      <c r="B98" s="1" t="s">
        <v>10</v>
      </c>
      <c r="C98" s="76" t="s">
        <v>54</v>
      </c>
      <c r="D98" s="76">
        <v>13</v>
      </c>
      <c r="E98" s="1" t="s">
        <v>7</v>
      </c>
      <c r="F98" s="1" t="s">
        <v>14</v>
      </c>
      <c r="G98" s="1">
        <v>75</v>
      </c>
      <c r="H98" s="1">
        <v>95</v>
      </c>
      <c r="I98" s="1">
        <v>94</v>
      </c>
    </row>
    <row r="99" spans="1:9" x14ac:dyDescent="0.25">
      <c r="A99" s="2" t="s">
        <v>1</v>
      </c>
      <c r="B99" s="1" t="s">
        <v>10</v>
      </c>
      <c r="C99" s="76" t="s">
        <v>54</v>
      </c>
      <c r="D99" s="76">
        <v>14</v>
      </c>
      <c r="E99" s="1" t="s">
        <v>7</v>
      </c>
      <c r="F99" s="1" t="s">
        <v>14</v>
      </c>
      <c r="G99" s="1">
        <v>71</v>
      </c>
      <c r="H99" s="1">
        <v>87</v>
      </c>
      <c r="I99" s="1">
        <v>87</v>
      </c>
    </row>
    <row r="100" spans="1:9" x14ac:dyDescent="0.25">
      <c r="A100" s="2" t="s">
        <v>1</v>
      </c>
      <c r="B100" s="1" t="s">
        <v>10</v>
      </c>
      <c r="C100" s="76" t="s">
        <v>54</v>
      </c>
      <c r="D100" s="76">
        <v>15</v>
      </c>
      <c r="E100" s="1" t="s">
        <v>7</v>
      </c>
      <c r="F100" s="1" t="s">
        <v>14</v>
      </c>
      <c r="G100" s="1">
        <v>75</v>
      </c>
      <c r="H100" s="1">
        <v>91</v>
      </c>
      <c r="I100" s="1">
        <v>81</v>
      </c>
    </row>
    <row r="101" spans="1:9" x14ac:dyDescent="0.25">
      <c r="A101" s="2" t="s">
        <v>1</v>
      </c>
      <c r="B101" s="1" t="s">
        <v>10</v>
      </c>
      <c r="C101" s="76" t="s">
        <v>54</v>
      </c>
      <c r="D101" s="76">
        <v>16</v>
      </c>
      <c r="E101" s="1" t="s">
        <v>7</v>
      </c>
      <c r="F101" s="1" t="s">
        <v>14</v>
      </c>
      <c r="G101" s="1">
        <v>90</v>
      </c>
      <c r="H101" s="1">
        <v>94</v>
      </c>
      <c r="I101" s="1">
        <v>93</v>
      </c>
    </row>
    <row r="102" spans="1:9" x14ac:dyDescent="0.25">
      <c r="A102" s="2" t="s">
        <v>1</v>
      </c>
      <c r="B102" s="1" t="s">
        <v>10</v>
      </c>
      <c r="C102" s="76" t="s">
        <v>54</v>
      </c>
      <c r="D102" s="76">
        <v>17</v>
      </c>
      <c r="E102" s="1" t="s">
        <v>7</v>
      </c>
      <c r="F102" s="1" t="s">
        <v>14</v>
      </c>
      <c r="G102" s="1">
        <v>68</v>
      </c>
      <c r="H102" s="1">
        <v>70</v>
      </c>
      <c r="I102" s="1">
        <v>76</v>
      </c>
    </row>
    <row r="103" spans="1:9" x14ac:dyDescent="0.25">
      <c r="A103" s="2" t="s">
        <v>1</v>
      </c>
      <c r="B103" s="1" t="s">
        <v>10</v>
      </c>
      <c r="C103" s="76" t="s">
        <v>54</v>
      </c>
      <c r="D103" s="76">
        <v>18</v>
      </c>
      <c r="E103" s="1" t="s">
        <v>7</v>
      </c>
      <c r="F103" s="1" t="s">
        <v>14</v>
      </c>
      <c r="G103" s="1">
        <v>84</v>
      </c>
      <c r="H103" s="1">
        <v>90</v>
      </c>
      <c r="I103" s="1">
        <v>89</v>
      </c>
    </row>
    <row r="104" spans="1:9" x14ac:dyDescent="0.25">
      <c r="A104" s="2" t="s">
        <v>1</v>
      </c>
      <c r="B104" s="1" t="s">
        <v>10</v>
      </c>
      <c r="C104" s="76" t="s">
        <v>54</v>
      </c>
      <c r="D104" s="76">
        <v>19</v>
      </c>
      <c r="E104" s="1" t="s">
        <v>7</v>
      </c>
      <c r="F104" s="1" t="s">
        <v>14</v>
      </c>
      <c r="G104" s="1">
        <v>82</v>
      </c>
      <c r="H104" s="1">
        <v>97</v>
      </c>
      <c r="I104" s="1">
        <v>90</v>
      </c>
    </row>
    <row r="105" spans="1:9" x14ac:dyDescent="0.25">
      <c r="A105" s="2" t="s">
        <v>1</v>
      </c>
      <c r="B105" s="1" t="s">
        <v>10</v>
      </c>
      <c r="C105" s="76" t="s">
        <v>54</v>
      </c>
      <c r="D105" s="76">
        <v>20</v>
      </c>
      <c r="E105" s="1" t="s">
        <v>7</v>
      </c>
      <c r="F105" s="1" t="s">
        <v>15</v>
      </c>
      <c r="G105" s="1">
        <v>80</v>
      </c>
      <c r="H105" s="1">
        <v>81</v>
      </c>
      <c r="I105" s="1">
        <v>85</v>
      </c>
    </row>
    <row r="106" spans="1:9" x14ac:dyDescent="0.25">
      <c r="A106" s="2" t="s">
        <v>1</v>
      </c>
      <c r="B106" s="1" t="s">
        <v>10</v>
      </c>
      <c r="C106" s="76" t="s">
        <v>54</v>
      </c>
      <c r="D106" s="76">
        <v>21</v>
      </c>
      <c r="E106" s="1" t="s">
        <v>7</v>
      </c>
      <c r="F106" s="1" t="s">
        <v>15</v>
      </c>
      <c r="G106" s="1">
        <v>63</v>
      </c>
      <c r="H106" s="1">
        <v>72</v>
      </c>
      <c r="I106" s="1">
        <v>78</v>
      </c>
    </row>
    <row r="107" spans="1:9" x14ac:dyDescent="0.25">
      <c r="A107" s="2" t="s">
        <v>1</v>
      </c>
      <c r="B107" s="1" t="s">
        <v>10</v>
      </c>
      <c r="C107" s="76" t="s">
        <v>54</v>
      </c>
      <c r="D107" s="76">
        <v>22</v>
      </c>
      <c r="E107" s="1" t="s">
        <v>7</v>
      </c>
      <c r="F107" s="1" t="s">
        <v>15</v>
      </c>
      <c r="G107" s="1">
        <v>91</v>
      </c>
      <c r="H107" s="1">
        <v>99</v>
      </c>
      <c r="I107" s="1">
        <v>100</v>
      </c>
    </row>
    <row r="108" spans="1:9" x14ac:dyDescent="0.25">
      <c r="A108" s="2" t="s">
        <v>1</v>
      </c>
      <c r="B108" s="1" t="s">
        <v>10</v>
      </c>
      <c r="C108" s="76" t="s">
        <v>54</v>
      </c>
      <c r="D108" s="76">
        <v>23</v>
      </c>
      <c r="E108" s="1" t="s">
        <v>7</v>
      </c>
      <c r="F108" s="1" t="s">
        <v>15</v>
      </c>
      <c r="G108" s="1">
        <v>65</v>
      </c>
      <c r="H108" s="1">
        <v>78</v>
      </c>
      <c r="I108" s="1">
        <v>81</v>
      </c>
    </row>
    <row r="109" spans="1:9" x14ac:dyDescent="0.25">
      <c r="A109" s="2" t="s">
        <v>1</v>
      </c>
      <c r="B109" s="1" t="s">
        <v>10</v>
      </c>
      <c r="C109" s="76" t="s">
        <v>54</v>
      </c>
      <c r="D109" s="76">
        <v>24</v>
      </c>
      <c r="E109" s="1" t="s">
        <v>7</v>
      </c>
      <c r="F109" s="1" t="s">
        <v>15</v>
      </c>
      <c r="G109" s="1">
        <v>60</v>
      </c>
      <c r="H109" s="1">
        <v>65</v>
      </c>
      <c r="I109" s="1">
        <v>67</v>
      </c>
    </row>
    <row r="110" spans="1:9" x14ac:dyDescent="0.25">
      <c r="A110" s="2" t="s">
        <v>1</v>
      </c>
      <c r="B110" s="1" t="s">
        <v>10</v>
      </c>
      <c r="C110" s="76" t="s">
        <v>54</v>
      </c>
      <c r="D110" s="76">
        <v>25</v>
      </c>
      <c r="E110" s="1" t="s">
        <v>7</v>
      </c>
      <c r="F110" s="1" t="s">
        <v>15</v>
      </c>
      <c r="G110" s="1">
        <v>81</v>
      </c>
      <c r="H110" s="1">
        <v>92</v>
      </c>
      <c r="I110" s="1">
        <v>97</v>
      </c>
    </row>
    <row r="111" spans="1:9" x14ac:dyDescent="0.25">
      <c r="A111" s="2" t="s">
        <v>1</v>
      </c>
      <c r="B111" s="1" t="s">
        <v>10</v>
      </c>
      <c r="C111" s="76" t="s">
        <v>54</v>
      </c>
      <c r="D111" s="76">
        <v>26</v>
      </c>
      <c r="E111" s="1" t="s">
        <v>7</v>
      </c>
      <c r="F111" s="1" t="s">
        <v>15</v>
      </c>
      <c r="G111" s="1">
        <v>64</v>
      </c>
      <c r="H111" s="1">
        <v>66</v>
      </c>
      <c r="I111" s="1">
        <v>72</v>
      </c>
    </row>
    <row r="112" spans="1:9" x14ac:dyDescent="0.25">
      <c r="A112" s="2" t="s">
        <v>1</v>
      </c>
      <c r="B112" s="1" t="s">
        <v>10</v>
      </c>
      <c r="C112" s="76" t="s">
        <v>54</v>
      </c>
      <c r="D112" s="76">
        <v>27</v>
      </c>
      <c r="E112" s="1" t="s">
        <v>7</v>
      </c>
      <c r="F112" s="1" t="s">
        <v>15</v>
      </c>
      <c r="G112" s="1">
        <v>83</v>
      </c>
      <c r="H112" s="1">
        <v>96</v>
      </c>
      <c r="I112" s="1">
        <v>96</v>
      </c>
    </row>
    <row r="113" spans="1:9" x14ac:dyDescent="0.25">
      <c r="A113" s="2" t="s">
        <v>1</v>
      </c>
      <c r="B113" s="1" t="s">
        <v>10</v>
      </c>
      <c r="C113" s="76" t="s">
        <v>54</v>
      </c>
      <c r="D113" s="76">
        <v>28</v>
      </c>
      <c r="E113" s="1" t="s">
        <v>73</v>
      </c>
      <c r="F113" s="1" t="s">
        <v>14</v>
      </c>
      <c r="G113" s="1">
        <v>35</v>
      </c>
      <c r="H113" s="1">
        <v>34</v>
      </c>
      <c r="I113" s="1">
        <v>36</v>
      </c>
    </row>
    <row r="114" spans="1:9" x14ac:dyDescent="0.25">
      <c r="A114" s="2" t="s">
        <v>1</v>
      </c>
      <c r="B114" s="1" t="s">
        <v>10</v>
      </c>
      <c r="C114" s="76" t="s">
        <v>54</v>
      </c>
      <c r="D114" s="76">
        <v>29</v>
      </c>
      <c r="E114" s="1" t="s">
        <v>73</v>
      </c>
      <c r="F114" s="1" t="s">
        <v>14</v>
      </c>
      <c r="G114" s="1">
        <v>67</v>
      </c>
      <c r="H114" s="1">
        <v>73</v>
      </c>
      <c r="I114" s="1">
        <v>74</v>
      </c>
    </row>
    <row r="115" spans="1:9" x14ac:dyDescent="0.25">
      <c r="A115" s="2" t="s">
        <v>1</v>
      </c>
      <c r="B115" s="1" t="s">
        <v>10</v>
      </c>
      <c r="C115" s="76" t="s">
        <v>54</v>
      </c>
      <c r="D115" s="76">
        <v>30</v>
      </c>
      <c r="E115" s="1" t="s">
        <v>73</v>
      </c>
      <c r="F115" s="1" t="s">
        <v>14</v>
      </c>
      <c r="G115" s="1">
        <v>61</v>
      </c>
      <c r="H115" s="1">
        <v>68</v>
      </c>
      <c r="I115" s="1">
        <v>67</v>
      </c>
    </row>
    <row r="116" spans="1:9" x14ac:dyDescent="0.25">
      <c r="A116" s="2" t="s">
        <v>1</v>
      </c>
      <c r="B116" s="1" t="s">
        <v>10</v>
      </c>
      <c r="C116" s="76" t="s">
        <v>54</v>
      </c>
      <c r="D116" s="76">
        <v>31</v>
      </c>
      <c r="E116" s="1" t="s">
        <v>73</v>
      </c>
      <c r="F116" s="1" t="s">
        <v>14</v>
      </c>
      <c r="G116" s="1">
        <v>67</v>
      </c>
      <c r="H116" s="1">
        <v>76</v>
      </c>
      <c r="I116" s="1">
        <v>76</v>
      </c>
    </row>
    <row r="117" spans="1:9" x14ac:dyDescent="0.25">
      <c r="A117" s="2" t="s">
        <v>1</v>
      </c>
      <c r="B117" s="1" t="s">
        <v>10</v>
      </c>
      <c r="C117" s="76" t="s">
        <v>54</v>
      </c>
      <c r="D117" s="76">
        <v>32</v>
      </c>
      <c r="E117" s="1" t="s">
        <v>73</v>
      </c>
      <c r="F117" s="1" t="s">
        <v>14</v>
      </c>
      <c r="G117" s="1">
        <v>61</v>
      </c>
      <c r="H117" s="1">
        <v>64</v>
      </c>
      <c r="I117" s="1">
        <v>63</v>
      </c>
    </row>
    <row r="118" spans="1:9" x14ac:dyDescent="0.25">
      <c r="A118" s="2" t="s">
        <v>1</v>
      </c>
      <c r="B118" s="1" t="s">
        <v>10</v>
      </c>
      <c r="C118" s="76" t="s">
        <v>54</v>
      </c>
      <c r="D118" s="76">
        <v>33</v>
      </c>
      <c r="E118" s="1" t="s">
        <v>73</v>
      </c>
      <c r="F118" s="1" t="s">
        <v>14</v>
      </c>
      <c r="G118" s="1">
        <v>59</v>
      </c>
      <c r="H118" s="1">
        <v>72</v>
      </c>
      <c r="I118" s="1">
        <v>72</v>
      </c>
    </row>
    <row r="119" spans="1:9" x14ac:dyDescent="0.25">
      <c r="A119" s="2" t="s">
        <v>1</v>
      </c>
      <c r="B119" s="1" t="s">
        <v>10</v>
      </c>
      <c r="C119" s="76" t="s">
        <v>54</v>
      </c>
      <c r="D119" s="76">
        <v>34</v>
      </c>
      <c r="E119" s="1" t="s">
        <v>73</v>
      </c>
      <c r="F119" s="1" t="s">
        <v>15</v>
      </c>
      <c r="G119" s="1">
        <v>58</v>
      </c>
      <c r="H119" s="1">
        <v>67</v>
      </c>
      <c r="I119" s="1">
        <v>70</v>
      </c>
    </row>
    <row r="120" spans="1:9" x14ac:dyDescent="0.25">
      <c r="A120" s="2" t="s">
        <v>1</v>
      </c>
      <c r="B120" s="1" t="s">
        <v>10</v>
      </c>
      <c r="C120" s="77" t="s">
        <v>42</v>
      </c>
      <c r="D120" s="77">
        <v>6</v>
      </c>
      <c r="E120" s="1" t="s">
        <v>7</v>
      </c>
      <c r="F120" s="1" t="s">
        <v>14</v>
      </c>
      <c r="G120" s="1">
        <v>70</v>
      </c>
      <c r="H120" s="1">
        <v>71</v>
      </c>
      <c r="I120" s="1">
        <v>71</v>
      </c>
    </row>
    <row r="121" spans="1:9" x14ac:dyDescent="0.25">
      <c r="A121" s="2" t="s">
        <v>1</v>
      </c>
      <c r="B121" s="1" t="s">
        <v>10</v>
      </c>
      <c r="C121" s="77" t="s">
        <v>42</v>
      </c>
      <c r="D121" s="77">
        <v>7</v>
      </c>
      <c r="E121" s="1" t="s">
        <v>7</v>
      </c>
      <c r="F121" s="1" t="s">
        <v>14</v>
      </c>
      <c r="G121" s="1">
        <v>83</v>
      </c>
      <c r="H121" s="1">
        <v>88</v>
      </c>
      <c r="I121" s="1">
        <v>90</v>
      </c>
    </row>
    <row r="122" spans="1:9" x14ac:dyDescent="0.25">
      <c r="A122" s="2" t="s">
        <v>1</v>
      </c>
      <c r="B122" s="1" t="s">
        <v>10</v>
      </c>
      <c r="C122" s="77" t="s">
        <v>42</v>
      </c>
      <c r="D122" s="77">
        <v>8</v>
      </c>
      <c r="E122" s="1" t="s">
        <v>7</v>
      </c>
      <c r="F122" s="1" t="s">
        <v>14</v>
      </c>
      <c r="G122" s="1">
        <v>84</v>
      </c>
      <c r="H122" s="1">
        <v>100</v>
      </c>
      <c r="I122" s="1">
        <v>96</v>
      </c>
    </row>
    <row r="123" spans="1:9" x14ac:dyDescent="0.25">
      <c r="A123" s="2" t="s">
        <v>1</v>
      </c>
      <c r="B123" s="1" t="s">
        <v>10</v>
      </c>
      <c r="C123" s="77" t="s">
        <v>42</v>
      </c>
      <c r="D123" s="77">
        <v>9</v>
      </c>
      <c r="E123" s="1" t="s">
        <v>7</v>
      </c>
      <c r="F123" s="1" t="s">
        <v>14</v>
      </c>
      <c r="G123" s="1">
        <v>56</v>
      </c>
      <c r="H123" s="1">
        <v>61</v>
      </c>
      <c r="I123" s="1">
        <v>65</v>
      </c>
    </row>
    <row r="124" spans="1:9" x14ac:dyDescent="0.25">
      <c r="A124" s="2" t="s">
        <v>1</v>
      </c>
      <c r="B124" s="1" t="s">
        <v>10</v>
      </c>
      <c r="C124" s="77" t="s">
        <v>42</v>
      </c>
      <c r="D124" s="77">
        <v>10</v>
      </c>
      <c r="E124" s="1" t="s">
        <v>7</v>
      </c>
      <c r="F124" s="1" t="s">
        <v>14</v>
      </c>
      <c r="G124" s="1">
        <v>83</v>
      </c>
      <c r="H124" s="1">
        <v>89</v>
      </c>
      <c r="I124" s="1">
        <v>88</v>
      </c>
    </row>
    <row r="125" spans="1:9" x14ac:dyDescent="0.25">
      <c r="A125" s="2" t="s">
        <v>1</v>
      </c>
      <c r="B125" s="1" t="s">
        <v>10</v>
      </c>
      <c r="C125" s="77" t="s">
        <v>42</v>
      </c>
      <c r="D125" s="77">
        <v>11</v>
      </c>
      <c r="E125" s="1" t="s">
        <v>7</v>
      </c>
      <c r="F125" s="1" t="s">
        <v>14</v>
      </c>
      <c r="G125" s="1">
        <v>50</v>
      </c>
      <c r="H125" s="1">
        <v>48</v>
      </c>
      <c r="I125" s="1">
        <v>52</v>
      </c>
    </row>
    <row r="126" spans="1:9" x14ac:dyDescent="0.25">
      <c r="A126" s="2" t="s">
        <v>1</v>
      </c>
      <c r="B126" s="1" t="s">
        <v>10</v>
      </c>
      <c r="C126" s="77" t="s">
        <v>42</v>
      </c>
      <c r="D126" s="77">
        <v>12</v>
      </c>
      <c r="E126" s="1" t="s">
        <v>7</v>
      </c>
      <c r="F126" s="1" t="s">
        <v>14</v>
      </c>
      <c r="G126" s="1">
        <v>58</v>
      </c>
      <c r="H126" s="1">
        <v>64</v>
      </c>
      <c r="I126" s="1">
        <v>56</v>
      </c>
    </row>
    <row r="127" spans="1:9" x14ac:dyDescent="0.25">
      <c r="A127" s="2" t="s">
        <v>1</v>
      </c>
      <c r="B127" s="1" t="s">
        <v>10</v>
      </c>
      <c r="C127" s="77" t="s">
        <v>42</v>
      </c>
      <c r="D127" s="77">
        <v>13</v>
      </c>
      <c r="E127" s="1" t="s">
        <v>7</v>
      </c>
      <c r="F127" s="1" t="s">
        <v>14</v>
      </c>
      <c r="G127" s="1">
        <v>61</v>
      </c>
      <c r="H127" s="1">
        <v>69</v>
      </c>
      <c r="I127" s="1">
        <v>73</v>
      </c>
    </row>
    <row r="128" spans="1:9" x14ac:dyDescent="0.25">
      <c r="A128" s="2" t="s">
        <v>1</v>
      </c>
      <c r="B128" s="1" t="s">
        <v>10</v>
      </c>
      <c r="C128" s="77" t="s">
        <v>42</v>
      </c>
      <c r="D128" s="77">
        <v>14</v>
      </c>
      <c r="E128" s="1" t="s">
        <v>7</v>
      </c>
      <c r="F128" s="1" t="s">
        <v>14</v>
      </c>
      <c r="G128" s="1">
        <v>65</v>
      </c>
      <c r="H128" s="1">
        <v>76</v>
      </c>
      <c r="I128" s="1">
        <v>70</v>
      </c>
    </row>
    <row r="129" spans="1:9" x14ac:dyDescent="0.25">
      <c r="A129" s="2" t="s">
        <v>1</v>
      </c>
      <c r="B129" s="1" t="s">
        <v>10</v>
      </c>
      <c r="C129" s="77" t="s">
        <v>42</v>
      </c>
      <c r="D129" s="77">
        <v>15</v>
      </c>
      <c r="E129" s="1" t="s">
        <v>7</v>
      </c>
      <c r="F129" s="1" t="s">
        <v>14</v>
      </c>
      <c r="G129" s="1">
        <v>58</v>
      </c>
      <c r="H129" s="1">
        <v>69</v>
      </c>
      <c r="I129" s="1">
        <v>63</v>
      </c>
    </row>
    <row r="130" spans="1:9" x14ac:dyDescent="0.25">
      <c r="A130" s="2" t="s">
        <v>1</v>
      </c>
      <c r="B130" s="1" t="s">
        <v>10</v>
      </c>
      <c r="C130" s="77" t="s">
        <v>42</v>
      </c>
      <c r="D130" s="77">
        <v>16</v>
      </c>
      <c r="E130" s="1" t="s">
        <v>7</v>
      </c>
      <c r="F130" s="1" t="s">
        <v>15</v>
      </c>
      <c r="G130" s="1">
        <v>69</v>
      </c>
      <c r="H130" s="1">
        <v>72</v>
      </c>
      <c r="I130" s="1">
        <v>72</v>
      </c>
    </row>
    <row r="131" spans="1:9" x14ac:dyDescent="0.25">
      <c r="A131" s="2" t="s">
        <v>1</v>
      </c>
      <c r="B131" s="1" t="s">
        <v>10</v>
      </c>
      <c r="C131" s="77" t="s">
        <v>42</v>
      </c>
      <c r="D131" s="77">
        <v>17</v>
      </c>
      <c r="E131" s="1" t="s">
        <v>7</v>
      </c>
      <c r="F131" s="1" t="s">
        <v>15</v>
      </c>
      <c r="G131" s="1">
        <v>61</v>
      </c>
      <c r="H131" s="1">
        <v>75</v>
      </c>
      <c r="I131" s="1">
        <v>82</v>
      </c>
    </row>
    <row r="132" spans="1:9" x14ac:dyDescent="0.25">
      <c r="A132" s="2" t="s">
        <v>1</v>
      </c>
      <c r="B132" s="1" t="s">
        <v>10</v>
      </c>
      <c r="C132" s="77" t="s">
        <v>42</v>
      </c>
      <c r="D132" s="77">
        <v>18</v>
      </c>
      <c r="E132" s="1" t="s">
        <v>7</v>
      </c>
      <c r="F132" s="1" t="s">
        <v>15</v>
      </c>
      <c r="G132" s="1">
        <v>45</v>
      </c>
      <c r="H132" s="1">
        <v>63</v>
      </c>
      <c r="I132" s="1">
        <v>67</v>
      </c>
    </row>
    <row r="133" spans="1:9" x14ac:dyDescent="0.25">
      <c r="A133" s="2" t="s">
        <v>1</v>
      </c>
      <c r="B133" s="1" t="s">
        <v>10</v>
      </c>
      <c r="C133" s="77" t="s">
        <v>42</v>
      </c>
      <c r="D133" s="77">
        <v>19</v>
      </c>
      <c r="E133" s="1" t="s">
        <v>7</v>
      </c>
      <c r="F133" s="1" t="s">
        <v>15</v>
      </c>
      <c r="G133" s="1">
        <v>47</v>
      </c>
      <c r="H133" s="1">
        <v>58</v>
      </c>
      <c r="I133" s="1">
        <v>56</v>
      </c>
    </row>
    <row r="134" spans="1:9" x14ac:dyDescent="0.25">
      <c r="A134" s="2" t="s">
        <v>1</v>
      </c>
      <c r="B134" s="1" t="s">
        <v>10</v>
      </c>
      <c r="C134" s="77" t="s">
        <v>42</v>
      </c>
      <c r="D134" s="77">
        <v>20</v>
      </c>
      <c r="E134" s="1" t="s">
        <v>7</v>
      </c>
      <c r="F134" s="1" t="s">
        <v>15</v>
      </c>
      <c r="G134" s="1">
        <v>77</v>
      </c>
      <c r="H134" s="1">
        <v>90</v>
      </c>
      <c r="I134" s="1">
        <v>93</v>
      </c>
    </row>
    <row r="135" spans="1:9" x14ac:dyDescent="0.25">
      <c r="A135" s="2" t="s">
        <v>1</v>
      </c>
      <c r="B135" s="1" t="s">
        <v>10</v>
      </c>
      <c r="C135" s="77" t="s">
        <v>42</v>
      </c>
      <c r="D135" s="77">
        <v>21</v>
      </c>
      <c r="E135" s="1" t="s">
        <v>7</v>
      </c>
      <c r="F135" s="1" t="s">
        <v>15</v>
      </c>
      <c r="G135" s="1">
        <v>92</v>
      </c>
      <c r="H135" s="1">
        <v>100</v>
      </c>
      <c r="I135" s="1">
        <v>100</v>
      </c>
    </row>
    <row r="136" spans="1:9" x14ac:dyDescent="0.25">
      <c r="A136" s="2" t="s">
        <v>1</v>
      </c>
      <c r="B136" s="1" t="s">
        <v>10</v>
      </c>
      <c r="C136" s="77" t="s">
        <v>42</v>
      </c>
      <c r="D136" s="77">
        <v>22</v>
      </c>
      <c r="E136" s="1" t="s">
        <v>73</v>
      </c>
      <c r="F136" s="1" t="s">
        <v>14</v>
      </c>
      <c r="G136" s="1">
        <v>37</v>
      </c>
      <c r="H136" s="1">
        <v>51</v>
      </c>
      <c r="I136" s="1">
        <v>51</v>
      </c>
    </row>
    <row r="137" spans="1:9" x14ac:dyDescent="0.25">
      <c r="A137" s="2" t="s">
        <v>1</v>
      </c>
      <c r="B137" s="1" t="s">
        <v>10</v>
      </c>
      <c r="C137" s="77" t="s">
        <v>42</v>
      </c>
      <c r="D137" s="77">
        <v>23</v>
      </c>
      <c r="E137" s="1" t="s">
        <v>73</v>
      </c>
      <c r="F137" s="1" t="s">
        <v>15</v>
      </c>
      <c r="G137" s="1">
        <v>27</v>
      </c>
      <c r="H137" s="1">
        <v>49</v>
      </c>
      <c r="I137" s="1">
        <v>50</v>
      </c>
    </row>
    <row r="138" spans="1:9" x14ac:dyDescent="0.25">
      <c r="A138" s="2" t="s">
        <v>1</v>
      </c>
      <c r="B138" s="1" t="s">
        <v>10</v>
      </c>
      <c r="C138" s="77" t="s">
        <v>42</v>
      </c>
      <c r="D138" s="77">
        <v>24</v>
      </c>
      <c r="E138" s="1" t="s">
        <v>73</v>
      </c>
      <c r="F138" s="1" t="s">
        <v>15</v>
      </c>
      <c r="G138" s="1">
        <v>69</v>
      </c>
      <c r="H138" s="1">
        <v>85</v>
      </c>
      <c r="I138" s="1">
        <v>84</v>
      </c>
    </row>
    <row r="139" spans="1:9" x14ac:dyDescent="0.25">
      <c r="A139" s="2" t="s">
        <v>1</v>
      </c>
      <c r="B139" s="1" t="s">
        <v>10</v>
      </c>
      <c r="C139" s="77" t="s">
        <v>42</v>
      </c>
      <c r="D139" s="77">
        <v>25</v>
      </c>
      <c r="E139" s="1" t="s">
        <v>73</v>
      </c>
      <c r="F139" s="1" t="s">
        <v>15</v>
      </c>
      <c r="G139" s="1">
        <v>55</v>
      </c>
      <c r="H139" s="1">
        <v>67</v>
      </c>
      <c r="I139" s="1">
        <v>68</v>
      </c>
    </row>
    <row r="140" spans="1:9" x14ac:dyDescent="0.25">
      <c r="A140" s="2" t="s">
        <v>1</v>
      </c>
      <c r="B140" s="1" t="s">
        <v>10</v>
      </c>
      <c r="C140" s="77" t="s">
        <v>42</v>
      </c>
      <c r="D140" s="77">
        <v>26</v>
      </c>
      <c r="E140" s="1" t="s">
        <v>73</v>
      </c>
      <c r="F140" s="1" t="s">
        <v>15</v>
      </c>
      <c r="G140" s="1">
        <v>47</v>
      </c>
      <c r="H140" s="1">
        <v>61</v>
      </c>
      <c r="I140" s="1">
        <v>64</v>
      </c>
    </row>
    <row r="141" spans="1:9" x14ac:dyDescent="0.25">
      <c r="A141" s="2" t="s">
        <v>1</v>
      </c>
      <c r="B141" s="1" t="s">
        <v>10</v>
      </c>
      <c r="C141" s="77" t="s">
        <v>42</v>
      </c>
      <c r="D141" s="77">
        <v>27</v>
      </c>
      <c r="E141" s="1" t="s">
        <v>73</v>
      </c>
      <c r="F141" s="1" t="s">
        <v>15</v>
      </c>
      <c r="G141" s="1">
        <v>58</v>
      </c>
      <c r="H141" s="1">
        <v>62</v>
      </c>
      <c r="I141" s="1">
        <v>64</v>
      </c>
    </row>
    <row r="142" spans="1:9" x14ac:dyDescent="0.25">
      <c r="A142" s="2" t="s">
        <v>1</v>
      </c>
      <c r="B142" s="1" t="s">
        <v>10</v>
      </c>
      <c r="C142" s="78" t="s">
        <v>52</v>
      </c>
      <c r="D142" s="78">
        <v>5</v>
      </c>
      <c r="E142" s="1" t="s">
        <v>7</v>
      </c>
      <c r="F142" s="1" t="s">
        <v>14</v>
      </c>
      <c r="G142" s="1">
        <v>65</v>
      </c>
      <c r="H142" s="1">
        <v>79</v>
      </c>
      <c r="I142" s="1">
        <v>73</v>
      </c>
    </row>
    <row r="143" spans="1:9" x14ac:dyDescent="0.25">
      <c r="A143" s="2" t="s">
        <v>1</v>
      </c>
      <c r="B143" s="1" t="s">
        <v>10</v>
      </c>
      <c r="C143" s="78" t="s">
        <v>52</v>
      </c>
      <c r="D143" s="78">
        <v>6</v>
      </c>
      <c r="E143" s="1" t="s">
        <v>7</v>
      </c>
      <c r="F143" s="1" t="s">
        <v>14</v>
      </c>
      <c r="G143" s="1">
        <v>84</v>
      </c>
      <c r="H143" s="1">
        <v>91</v>
      </c>
      <c r="I143" s="1">
        <v>93</v>
      </c>
    </row>
    <row r="144" spans="1:9" x14ac:dyDescent="0.25">
      <c r="A144" s="2" t="s">
        <v>1</v>
      </c>
      <c r="B144" s="1" t="s">
        <v>10</v>
      </c>
      <c r="C144" s="78" t="s">
        <v>52</v>
      </c>
      <c r="D144" s="78">
        <v>7</v>
      </c>
      <c r="E144" s="1" t="s">
        <v>7</v>
      </c>
      <c r="F144" s="1" t="s">
        <v>14</v>
      </c>
      <c r="G144" s="1">
        <v>81</v>
      </c>
      <c r="H144" s="1">
        <v>84</v>
      </c>
      <c r="I144" s="1">
        <v>86</v>
      </c>
    </row>
    <row r="145" spans="1:9" x14ac:dyDescent="0.25">
      <c r="A145" s="2" t="s">
        <v>1</v>
      </c>
      <c r="B145" s="1" t="s">
        <v>10</v>
      </c>
      <c r="C145" s="78" t="s">
        <v>52</v>
      </c>
      <c r="D145" s="78">
        <v>8</v>
      </c>
      <c r="E145" s="1" t="s">
        <v>7</v>
      </c>
      <c r="F145" s="1" t="s">
        <v>14</v>
      </c>
      <c r="G145" s="1">
        <v>88</v>
      </c>
      <c r="H145" s="1">
        <v>84</v>
      </c>
      <c r="I145" s="1">
        <v>88</v>
      </c>
    </row>
    <row r="146" spans="1:9" x14ac:dyDescent="0.25">
      <c r="A146" s="2" t="s">
        <v>1</v>
      </c>
      <c r="B146" s="1" t="s">
        <v>10</v>
      </c>
      <c r="C146" s="78" t="s">
        <v>52</v>
      </c>
      <c r="D146" s="78">
        <v>9</v>
      </c>
      <c r="E146" s="1" t="s">
        <v>7</v>
      </c>
      <c r="F146" s="1" t="s">
        <v>14</v>
      </c>
      <c r="G146" s="1">
        <v>73</v>
      </c>
      <c r="H146" s="1">
        <v>87</v>
      </c>
      <c r="I146" s="1">
        <v>89</v>
      </c>
    </row>
    <row r="147" spans="1:9" x14ac:dyDescent="0.25">
      <c r="A147" s="2" t="s">
        <v>1</v>
      </c>
      <c r="B147" s="1" t="s">
        <v>10</v>
      </c>
      <c r="C147" s="78" t="s">
        <v>52</v>
      </c>
      <c r="D147" s="78">
        <v>10</v>
      </c>
      <c r="E147" s="1" t="s">
        <v>7</v>
      </c>
      <c r="F147" s="1" t="s">
        <v>15</v>
      </c>
      <c r="G147" s="1">
        <v>66</v>
      </c>
      <c r="H147" s="1">
        <v>73</v>
      </c>
      <c r="I147" s="1">
        <v>72</v>
      </c>
    </row>
    <row r="148" spans="1:9" x14ac:dyDescent="0.25">
      <c r="A148" s="2" t="s">
        <v>1</v>
      </c>
      <c r="B148" s="1" t="s">
        <v>10</v>
      </c>
      <c r="C148" s="78" t="s">
        <v>52</v>
      </c>
      <c r="D148" s="78">
        <v>11</v>
      </c>
      <c r="E148" s="1" t="s">
        <v>7</v>
      </c>
      <c r="F148" s="1" t="s">
        <v>15</v>
      </c>
      <c r="G148" s="1">
        <v>82</v>
      </c>
      <c r="H148" s="1">
        <v>85</v>
      </c>
      <c r="I148" s="1">
        <v>99</v>
      </c>
    </row>
    <row r="149" spans="1:9" x14ac:dyDescent="0.25">
      <c r="A149" s="2" t="s">
        <v>1</v>
      </c>
      <c r="B149" s="1" t="s">
        <v>10</v>
      </c>
      <c r="C149" s="78" t="s">
        <v>52</v>
      </c>
      <c r="D149" s="78">
        <v>12</v>
      </c>
      <c r="E149" s="1" t="s">
        <v>7</v>
      </c>
      <c r="F149" s="1" t="s">
        <v>15</v>
      </c>
      <c r="G149" s="1">
        <v>64</v>
      </c>
      <c r="H149" s="1">
        <v>77</v>
      </c>
      <c r="I149" s="1">
        <v>79</v>
      </c>
    </row>
    <row r="150" spans="1:9" x14ac:dyDescent="0.25">
      <c r="A150" s="2" t="s">
        <v>1</v>
      </c>
      <c r="B150" s="1" t="s">
        <v>10</v>
      </c>
      <c r="C150" s="78" t="s">
        <v>52</v>
      </c>
      <c r="D150" s="78">
        <v>13</v>
      </c>
      <c r="E150" s="1" t="s">
        <v>7</v>
      </c>
      <c r="F150" s="1" t="s">
        <v>15</v>
      </c>
      <c r="G150" s="1">
        <v>55</v>
      </c>
      <c r="H150" s="1">
        <v>64</v>
      </c>
      <c r="I150" s="1">
        <v>63</v>
      </c>
    </row>
    <row r="151" spans="1:9" x14ac:dyDescent="0.25">
      <c r="A151" s="2" t="s">
        <v>1</v>
      </c>
      <c r="B151" s="1" t="s">
        <v>10</v>
      </c>
      <c r="C151" s="78" t="s">
        <v>52</v>
      </c>
      <c r="D151" s="78">
        <v>14</v>
      </c>
      <c r="E151" s="1" t="s">
        <v>7</v>
      </c>
      <c r="F151" s="1" t="s">
        <v>15</v>
      </c>
      <c r="G151" s="1">
        <v>85</v>
      </c>
      <c r="H151" s="1">
        <v>96</v>
      </c>
      <c r="I151" s="1">
        <v>95</v>
      </c>
    </row>
    <row r="152" spans="1:9" x14ac:dyDescent="0.25">
      <c r="A152" s="2" t="s">
        <v>1</v>
      </c>
      <c r="B152" s="1" t="s">
        <v>10</v>
      </c>
      <c r="C152" s="78" t="s">
        <v>52</v>
      </c>
      <c r="D152" s="78">
        <v>15</v>
      </c>
      <c r="E152" s="1" t="s">
        <v>7</v>
      </c>
      <c r="F152" s="1" t="s">
        <v>15</v>
      </c>
      <c r="G152" s="1">
        <v>80</v>
      </c>
      <c r="H152" s="1">
        <v>93</v>
      </c>
      <c r="I152" s="1">
        <v>99</v>
      </c>
    </row>
    <row r="153" spans="1:9" x14ac:dyDescent="0.25">
      <c r="A153" s="2" t="s">
        <v>1</v>
      </c>
      <c r="B153" s="1" t="s">
        <v>10</v>
      </c>
      <c r="C153" s="78" t="s">
        <v>52</v>
      </c>
      <c r="D153" s="78">
        <v>16</v>
      </c>
      <c r="E153" s="1" t="s">
        <v>73</v>
      </c>
      <c r="F153" s="1" t="s">
        <v>14</v>
      </c>
      <c r="G153" s="1">
        <v>50</v>
      </c>
      <c r="H153" s="1">
        <v>62</v>
      </c>
      <c r="I153" s="1">
        <v>62</v>
      </c>
    </row>
    <row r="154" spans="1:9" x14ac:dyDescent="0.25">
      <c r="A154" s="2" t="s">
        <v>1</v>
      </c>
      <c r="B154" s="1" t="s">
        <v>10</v>
      </c>
      <c r="C154" s="78" t="s">
        <v>52</v>
      </c>
      <c r="D154" s="78">
        <v>17</v>
      </c>
      <c r="E154" s="1" t="s">
        <v>73</v>
      </c>
      <c r="F154" s="1" t="s">
        <v>15</v>
      </c>
      <c r="G154" s="1">
        <v>49</v>
      </c>
      <c r="H154" s="1">
        <v>57</v>
      </c>
      <c r="I154" s="1">
        <v>61</v>
      </c>
    </row>
    <row r="155" spans="1:9" x14ac:dyDescent="0.25">
      <c r="A155" s="2" t="s">
        <v>1</v>
      </c>
      <c r="B155" s="1" t="s">
        <v>10</v>
      </c>
      <c r="C155" s="79" t="s">
        <v>59</v>
      </c>
      <c r="D155" s="79">
        <v>3</v>
      </c>
      <c r="E155" s="1" t="s">
        <v>7</v>
      </c>
      <c r="F155" s="1" t="s">
        <v>14</v>
      </c>
      <c r="G155" s="1">
        <v>53</v>
      </c>
      <c r="H155" s="1">
        <v>61</v>
      </c>
      <c r="I155" s="1">
        <v>59</v>
      </c>
    </row>
    <row r="156" spans="1:9" x14ac:dyDescent="0.25">
      <c r="A156" s="2" t="s">
        <v>1</v>
      </c>
      <c r="B156" s="1" t="s">
        <v>10</v>
      </c>
      <c r="C156" s="79" t="s">
        <v>59</v>
      </c>
      <c r="D156" s="79">
        <v>4</v>
      </c>
      <c r="E156" s="1" t="s">
        <v>7</v>
      </c>
      <c r="F156" s="1" t="s">
        <v>14</v>
      </c>
      <c r="G156" s="1">
        <v>71</v>
      </c>
      <c r="H156" s="1">
        <v>68</v>
      </c>
      <c r="I156" s="1">
        <v>68</v>
      </c>
    </row>
    <row r="157" spans="1:9" x14ac:dyDescent="0.25">
      <c r="A157" s="2" t="s">
        <v>1</v>
      </c>
      <c r="B157" s="1" t="s">
        <v>10</v>
      </c>
      <c r="C157" s="79" t="s">
        <v>59</v>
      </c>
      <c r="D157" s="79">
        <v>5</v>
      </c>
      <c r="E157" s="1" t="s">
        <v>7</v>
      </c>
      <c r="F157" s="1" t="s">
        <v>14</v>
      </c>
      <c r="G157" s="1">
        <v>62</v>
      </c>
      <c r="H157" s="1">
        <v>67</v>
      </c>
      <c r="I157" s="1">
        <v>70</v>
      </c>
    </row>
    <row r="158" spans="1:9" x14ac:dyDescent="0.25">
      <c r="A158" s="2" t="s">
        <v>1</v>
      </c>
      <c r="B158" s="1" t="s">
        <v>10</v>
      </c>
      <c r="C158" s="79" t="s">
        <v>59</v>
      </c>
      <c r="D158" s="79">
        <v>6</v>
      </c>
      <c r="E158" s="1" t="s">
        <v>7</v>
      </c>
      <c r="F158" s="1" t="s">
        <v>15</v>
      </c>
      <c r="G158" s="1">
        <v>59</v>
      </c>
      <c r="H158" s="1">
        <v>75</v>
      </c>
      <c r="I158" s="1">
        <v>79</v>
      </c>
    </row>
    <row r="159" spans="1:9" x14ac:dyDescent="0.25">
      <c r="A159" s="2" t="s">
        <v>1</v>
      </c>
      <c r="B159" s="1" t="s">
        <v>11</v>
      </c>
      <c r="C159" s="74" t="s">
        <v>53</v>
      </c>
      <c r="D159" s="74">
        <v>29</v>
      </c>
      <c r="E159" s="1" t="s">
        <v>7</v>
      </c>
      <c r="F159" s="1" t="s">
        <v>14</v>
      </c>
      <c r="G159" s="1">
        <v>23</v>
      </c>
      <c r="H159" s="1">
        <v>33</v>
      </c>
      <c r="I159" s="1">
        <v>33</v>
      </c>
    </row>
    <row r="160" spans="1:9" x14ac:dyDescent="0.25">
      <c r="A160" s="2" t="s">
        <v>1</v>
      </c>
      <c r="B160" s="1" t="s">
        <v>11</v>
      </c>
      <c r="C160" s="74" t="s">
        <v>53</v>
      </c>
      <c r="D160" s="74">
        <v>30</v>
      </c>
      <c r="E160" s="1" t="s">
        <v>7</v>
      </c>
      <c r="F160" s="1" t="s">
        <v>14</v>
      </c>
      <c r="G160" s="1">
        <v>70</v>
      </c>
      <c r="H160" s="1">
        <v>75</v>
      </c>
      <c r="I160" s="1">
        <v>76</v>
      </c>
    </row>
    <row r="161" spans="1:9" x14ac:dyDescent="0.25">
      <c r="A161" s="2" t="s">
        <v>1</v>
      </c>
      <c r="B161" s="1" t="s">
        <v>11</v>
      </c>
      <c r="C161" s="74" t="s">
        <v>53</v>
      </c>
      <c r="D161" s="74">
        <v>31</v>
      </c>
      <c r="E161" s="1" t="s">
        <v>7</v>
      </c>
      <c r="F161" s="1" t="s">
        <v>14</v>
      </c>
      <c r="G161" s="1">
        <v>62</v>
      </c>
      <c r="H161" s="1">
        <v>64</v>
      </c>
      <c r="I161" s="1">
        <v>64</v>
      </c>
    </row>
    <row r="162" spans="1:9" x14ac:dyDescent="0.25">
      <c r="A162" s="2" t="s">
        <v>1</v>
      </c>
      <c r="B162" s="1" t="s">
        <v>11</v>
      </c>
      <c r="C162" s="74" t="s">
        <v>53</v>
      </c>
      <c r="D162" s="74">
        <v>32</v>
      </c>
      <c r="E162" s="1" t="s">
        <v>7</v>
      </c>
      <c r="F162" s="1" t="s">
        <v>14</v>
      </c>
      <c r="G162" s="1">
        <v>75</v>
      </c>
      <c r="H162" s="1">
        <v>86</v>
      </c>
      <c r="I162" s="1">
        <v>84</v>
      </c>
    </row>
    <row r="163" spans="1:9" x14ac:dyDescent="0.25">
      <c r="A163" s="2" t="s">
        <v>1</v>
      </c>
      <c r="B163" s="1" t="s">
        <v>11</v>
      </c>
      <c r="C163" s="74" t="s">
        <v>53</v>
      </c>
      <c r="D163" s="74">
        <v>33</v>
      </c>
      <c r="E163" s="1" t="s">
        <v>7</v>
      </c>
      <c r="F163" s="1" t="s">
        <v>14</v>
      </c>
      <c r="G163" s="1">
        <v>68</v>
      </c>
      <c r="H163" s="1">
        <v>77</v>
      </c>
      <c r="I163" s="1">
        <v>75</v>
      </c>
    </row>
    <row r="164" spans="1:9" x14ac:dyDescent="0.25">
      <c r="A164" s="2" t="s">
        <v>1</v>
      </c>
      <c r="B164" s="1" t="s">
        <v>11</v>
      </c>
      <c r="C164" s="74" t="s">
        <v>53</v>
      </c>
      <c r="D164" s="74">
        <v>34</v>
      </c>
      <c r="E164" s="1" t="s">
        <v>7</v>
      </c>
      <c r="F164" s="1" t="s">
        <v>14</v>
      </c>
      <c r="G164" s="1">
        <v>70</v>
      </c>
      <c r="H164" s="1">
        <v>75</v>
      </c>
      <c r="I164" s="1">
        <v>78</v>
      </c>
    </row>
    <row r="165" spans="1:9" x14ac:dyDescent="0.25">
      <c r="A165" s="2" t="s">
        <v>1</v>
      </c>
      <c r="B165" s="1" t="s">
        <v>11</v>
      </c>
      <c r="C165" s="74" t="s">
        <v>53</v>
      </c>
      <c r="D165" s="74">
        <v>35</v>
      </c>
      <c r="E165" s="1" t="s">
        <v>7</v>
      </c>
      <c r="F165" s="1" t="s">
        <v>14</v>
      </c>
      <c r="G165" s="1">
        <v>67</v>
      </c>
      <c r="H165" s="1">
        <v>72</v>
      </c>
      <c r="I165" s="1">
        <v>71</v>
      </c>
    </row>
    <row r="166" spans="1:9" x14ac:dyDescent="0.25">
      <c r="A166" s="2" t="s">
        <v>1</v>
      </c>
      <c r="B166" s="1" t="s">
        <v>11</v>
      </c>
      <c r="C166" s="74" t="s">
        <v>53</v>
      </c>
      <c r="D166" s="74">
        <v>36</v>
      </c>
      <c r="E166" s="1" t="s">
        <v>7</v>
      </c>
      <c r="F166" s="1" t="s">
        <v>14</v>
      </c>
      <c r="G166" s="1">
        <v>88</v>
      </c>
      <c r="H166" s="1">
        <v>90</v>
      </c>
      <c r="I166" s="1">
        <v>90</v>
      </c>
    </row>
    <row r="167" spans="1:9" x14ac:dyDescent="0.25">
      <c r="A167" s="2" t="s">
        <v>1</v>
      </c>
      <c r="B167" s="1" t="s">
        <v>11</v>
      </c>
      <c r="C167" s="74" t="s">
        <v>53</v>
      </c>
      <c r="D167" s="74">
        <v>37</v>
      </c>
      <c r="E167" s="1" t="s">
        <v>7</v>
      </c>
      <c r="F167" s="1" t="s">
        <v>14</v>
      </c>
      <c r="G167" s="1">
        <v>53</v>
      </c>
      <c r="H167" s="1">
        <v>48</v>
      </c>
      <c r="I167" s="1">
        <v>49</v>
      </c>
    </row>
    <row r="168" spans="1:9" x14ac:dyDescent="0.25">
      <c r="A168" s="2" t="s">
        <v>1</v>
      </c>
      <c r="B168" s="1" t="s">
        <v>11</v>
      </c>
      <c r="C168" s="74" t="s">
        <v>53</v>
      </c>
      <c r="D168" s="74">
        <v>38</v>
      </c>
      <c r="E168" s="1" t="s">
        <v>7</v>
      </c>
      <c r="F168" s="1" t="s">
        <v>14</v>
      </c>
      <c r="G168" s="1">
        <v>60</v>
      </c>
      <c r="H168" s="1">
        <v>61</v>
      </c>
      <c r="I168" s="1">
        <v>57</v>
      </c>
    </row>
    <row r="169" spans="1:9" x14ac:dyDescent="0.25">
      <c r="A169" s="2" t="s">
        <v>1</v>
      </c>
      <c r="B169" s="1" t="s">
        <v>11</v>
      </c>
      <c r="C169" s="74" t="s">
        <v>53</v>
      </c>
      <c r="D169" s="74">
        <v>39</v>
      </c>
      <c r="E169" s="1" t="s">
        <v>7</v>
      </c>
      <c r="F169" s="1" t="s">
        <v>14</v>
      </c>
      <c r="G169" s="1">
        <v>86</v>
      </c>
      <c r="H169" s="1">
        <v>92</v>
      </c>
      <c r="I169" s="1">
        <v>83</v>
      </c>
    </row>
    <row r="170" spans="1:9" x14ac:dyDescent="0.25">
      <c r="A170" s="2" t="s">
        <v>1</v>
      </c>
      <c r="B170" s="1" t="s">
        <v>11</v>
      </c>
      <c r="C170" s="74" t="s">
        <v>53</v>
      </c>
      <c r="D170" s="74">
        <v>40</v>
      </c>
      <c r="E170" s="1" t="s">
        <v>7</v>
      </c>
      <c r="F170" s="1" t="s">
        <v>14</v>
      </c>
      <c r="G170" s="1">
        <v>74</v>
      </c>
      <c r="H170" s="1">
        <v>77</v>
      </c>
      <c r="I170" s="1">
        <v>72</v>
      </c>
    </row>
    <row r="171" spans="1:9" x14ac:dyDescent="0.25">
      <c r="A171" s="2" t="s">
        <v>1</v>
      </c>
      <c r="B171" s="1" t="s">
        <v>11</v>
      </c>
      <c r="C171" s="74" t="s">
        <v>53</v>
      </c>
      <c r="D171" s="74">
        <v>41</v>
      </c>
      <c r="E171" s="1" t="s">
        <v>7</v>
      </c>
      <c r="F171" s="1" t="s">
        <v>14</v>
      </c>
      <c r="G171" s="1">
        <v>70</v>
      </c>
      <c r="H171" s="1">
        <v>77</v>
      </c>
      <c r="I171" s="1">
        <v>76</v>
      </c>
    </row>
    <row r="172" spans="1:9" x14ac:dyDescent="0.25">
      <c r="A172" s="2" t="s">
        <v>1</v>
      </c>
      <c r="B172" s="1" t="s">
        <v>11</v>
      </c>
      <c r="C172" s="74" t="s">
        <v>53</v>
      </c>
      <c r="D172" s="74">
        <v>42</v>
      </c>
      <c r="E172" s="1" t="s">
        <v>7</v>
      </c>
      <c r="F172" s="1" t="s">
        <v>15</v>
      </c>
      <c r="G172" s="1">
        <v>69</v>
      </c>
      <c r="H172" s="1">
        <v>84</v>
      </c>
      <c r="I172" s="1">
        <v>81</v>
      </c>
    </row>
    <row r="173" spans="1:9" x14ac:dyDescent="0.25">
      <c r="A173" s="2" t="s">
        <v>1</v>
      </c>
      <c r="B173" s="1" t="s">
        <v>11</v>
      </c>
      <c r="C173" s="74" t="s">
        <v>53</v>
      </c>
      <c r="D173" s="74">
        <v>43</v>
      </c>
      <c r="E173" s="1" t="s">
        <v>73</v>
      </c>
      <c r="F173" s="1" t="s">
        <v>14</v>
      </c>
      <c r="G173" s="1">
        <v>34</v>
      </c>
      <c r="H173" s="1">
        <v>44</v>
      </c>
      <c r="I173" s="1">
        <v>43</v>
      </c>
    </row>
    <row r="174" spans="1:9" x14ac:dyDescent="0.25">
      <c r="A174" s="2" t="s">
        <v>1</v>
      </c>
      <c r="B174" s="1" t="s">
        <v>11</v>
      </c>
      <c r="C174" s="74" t="s">
        <v>53</v>
      </c>
      <c r="D174" s="74">
        <v>44</v>
      </c>
      <c r="E174" s="1" t="s">
        <v>73</v>
      </c>
      <c r="F174" s="1" t="s">
        <v>14</v>
      </c>
      <c r="G174" s="1">
        <v>38</v>
      </c>
      <c r="H174" s="1">
        <v>45</v>
      </c>
      <c r="I174" s="1">
        <v>44</v>
      </c>
    </row>
    <row r="175" spans="1:9" x14ac:dyDescent="0.25">
      <c r="A175" s="2" t="s">
        <v>1</v>
      </c>
      <c r="B175" s="1" t="s">
        <v>11</v>
      </c>
      <c r="C175" s="74" t="s">
        <v>53</v>
      </c>
      <c r="D175" s="74">
        <v>45</v>
      </c>
      <c r="E175" s="1" t="s">
        <v>73</v>
      </c>
      <c r="F175" s="1" t="s">
        <v>15</v>
      </c>
      <c r="G175" s="1">
        <v>60</v>
      </c>
      <c r="H175" s="1">
        <v>67</v>
      </c>
      <c r="I175" s="1">
        <v>74</v>
      </c>
    </row>
    <row r="176" spans="1:9" x14ac:dyDescent="0.25">
      <c r="A176" s="2" t="s">
        <v>1</v>
      </c>
      <c r="B176" s="1" t="s">
        <v>11</v>
      </c>
      <c r="C176" s="74" t="s">
        <v>53</v>
      </c>
      <c r="D176" s="74">
        <v>46</v>
      </c>
      <c r="E176" s="1" t="s">
        <v>73</v>
      </c>
      <c r="F176" s="1" t="s">
        <v>15</v>
      </c>
      <c r="G176" s="1">
        <v>52</v>
      </c>
      <c r="H176" s="1">
        <v>59</v>
      </c>
      <c r="I176" s="1">
        <v>58</v>
      </c>
    </row>
    <row r="177" spans="1:9" x14ac:dyDescent="0.25">
      <c r="A177" s="2" t="s">
        <v>1</v>
      </c>
      <c r="B177" s="1" t="s">
        <v>11</v>
      </c>
      <c r="C177" s="74" t="s">
        <v>53</v>
      </c>
      <c r="D177" s="74">
        <v>47</v>
      </c>
      <c r="E177" s="1" t="s">
        <v>73</v>
      </c>
      <c r="F177" s="1" t="s">
        <v>15</v>
      </c>
      <c r="G177" s="1">
        <v>62</v>
      </c>
      <c r="H177" s="1">
        <v>74</v>
      </c>
      <c r="I177" s="1">
        <v>71</v>
      </c>
    </row>
    <row r="178" spans="1:9" x14ac:dyDescent="0.25">
      <c r="A178" s="2" t="s">
        <v>1</v>
      </c>
      <c r="B178" s="1" t="s">
        <v>11</v>
      </c>
      <c r="C178" s="74" t="s">
        <v>53</v>
      </c>
      <c r="D178" s="74">
        <v>48</v>
      </c>
      <c r="E178" s="1" t="s">
        <v>73</v>
      </c>
      <c r="F178" s="1" t="s">
        <v>15</v>
      </c>
      <c r="G178" s="1">
        <v>58</v>
      </c>
      <c r="H178" s="1">
        <v>80</v>
      </c>
      <c r="I178" s="1">
        <v>76</v>
      </c>
    </row>
    <row r="179" spans="1:9" x14ac:dyDescent="0.25">
      <c r="A179" s="2" t="s">
        <v>1</v>
      </c>
      <c r="B179" s="1" t="s">
        <v>11</v>
      </c>
      <c r="C179" s="75" t="s">
        <v>6</v>
      </c>
      <c r="D179" s="75">
        <v>42</v>
      </c>
      <c r="E179" s="1" t="s">
        <v>7</v>
      </c>
      <c r="F179" s="1" t="s">
        <v>14</v>
      </c>
      <c r="G179" s="1">
        <v>87</v>
      </c>
      <c r="H179" s="1">
        <v>92</v>
      </c>
      <c r="I179" s="1">
        <v>81</v>
      </c>
    </row>
    <row r="180" spans="1:9" x14ac:dyDescent="0.25">
      <c r="A180" s="2" t="s">
        <v>1</v>
      </c>
      <c r="B180" s="1" t="s">
        <v>11</v>
      </c>
      <c r="C180" s="75" t="s">
        <v>6</v>
      </c>
      <c r="D180" s="75">
        <v>43</v>
      </c>
      <c r="E180" s="1" t="s">
        <v>7</v>
      </c>
      <c r="F180" s="1" t="s">
        <v>14</v>
      </c>
      <c r="G180" s="1">
        <v>66</v>
      </c>
      <c r="H180" s="1">
        <v>77</v>
      </c>
      <c r="I180" s="1">
        <v>80</v>
      </c>
    </row>
    <row r="181" spans="1:9" x14ac:dyDescent="0.25">
      <c r="A181" s="2" t="s">
        <v>1</v>
      </c>
      <c r="B181" s="1" t="s">
        <v>11</v>
      </c>
      <c r="C181" s="75" t="s">
        <v>6</v>
      </c>
      <c r="D181" s="75">
        <v>44</v>
      </c>
      <c r="E181" s="1" t="s">
        <v>7</v>
      </c>
      <c r="F181" s="1" t="s">
        <v>14</v>
      </c>
      <c r="G181" s="1">
        <v>77</v>
      </c>
      <c r="H181" s="1">
        <v>81</v>
      </c>
      <c r="I181" s="1">
        <v>85</v>
      </c>
    </row>
    <row r="182" spans="1:9" x14ac:dyDescent="0.25">
      <c r="A182" s="2" t="s">
        <v>1</v>
      </c>
      <c r="B182" s="1" t="s">
        <v>11</v>
      </c>
      <c r="C182" s="75" t="s">
        <v>6</v>
      </c>
      <c r="D182" s="75">
        <v>45</v>
      </c>
      <c r="E182" s="1" t="s">
        <v>7</v>
      </c>
      <c r="F182" s="1" t="s">
        <v>14</v>
      </c>
      <c r="G182" s="1">
        <v>55</v>
      </c>
      <c r="H182" s="1">
        <v>62</v>
      </c>
      <c r="I182" s="1">
        <v>61</v>
      </c>
    </row>
    <row r="183" spans="1:9" x14ac:dyDescent="0.25">
      <c r="A183" s="2" t="s">
        <v>1</v>
      </c>
      <c r="B183" s="1" t="s">
        <v>11</v>
      </c>
      <c r="C183" s="75" t="s">
        <v>6</v>
      </c>
      <c r="D183" s="75">
        <v>46</v>
      </c>
      <c r="E183" s="1" t="s">
        <v>7</v>
      </c>
      <c r="F183" s="1" t="s">
        <v>14</v>
      </c>
      <c r="G183" s="1">
        <v>70</v>
      </c>
      <c r="H183" s="1">
        <v>63</v>
      </c>
      <c r="I183" s="1">
        <v>63</v>
      </c>
    </row>
    <row r="184" spans="1:9" x14ac:dyDescent="0.25">
      <c r="A184" s="2" t="s">
        <v>1</v>
      </c>
      <c r="B184" s="1" t="s">
        <v>11</v>
      </c>
      <c r="C184" s="75" t="s">
        <v>6</v>
      </c>
      <c r="D184" s="75">
        <v>47</v>
      </c>
      <c r="E184" s="1" t="s">
        <v>7</v>
      </c>
      <c r="F184" s="1" t="s">
        <v>14</v>
      </c>
      <c r="G184" s="1">
        <v>72</v>
      </c>
      <c r="H184" s="1">
        <v>76</v>
      </c>
      <c r="I184" s="1">
        <v>74</v>
      </c>
    </row>
    <row r="185" spans="1:9" x14ac:dyDescent="0.25">
      <c r="A185" s="2" t="s">
        <v>1</v>
      </c>
      <c r="B185" s="1" t="s">
        <v>11</v>
      </c>
      <c r="C185" s="75" t="s">
        <v>6</v>
      </c>
      <c r="D185" s="75">
        <v>48</v>
      </c>
      <c r="E185" s="1" t="s">
        <v>7</v>
      </c>
      <c r="F185" s="1" t="s">
        <v>14</v>
      </c>
      <c r="G185" s="1">
        <v>69</v>
      </c>
      <c r="H185" s="1">
        <v>81</v>
      </c>
      <c r="I185" s="1">
        <v>70</v>
      </c>
    </row>
    <row r="186" spans="1:9" x14ac:dyDescent="0.25">
      <c r="A186" s="2" t="s">
        <v>1</v>
      </c>
      <c r="B186" s="1" t="s">
        <v>11</v>
      </c>
      <c r="C186" s="75" t="s">
        <v>6</v>
      </c>
      <c r="D186" s="75">
        <v>49</v>
      </c>
      <c r="E186" s="1" t="s">
        <v>7</v>
      </c>
      <c r="F186" s="1" t="s">
        <v>14</v>
      </c>
      <c r="G186" s="1">
        <v>63</v>
      </c>
      <c r="H186" s="1">
        <v>64</v>
      </c>
      <c r="I186" s="1">
        <v>59</v>
      </c>
    </row>
    <row r="187" spans="1:9" x14ac:dyDescent="0.25">
      <c r="A187" s="2" t="s">
        <v>1</v>
      </c>
      <c r="B187" s="1" t="s">
        <v>11</v>
      </c>
      <c r="C187" s="75" t="s">
        <v>6</v>
      </c>
      <c r="D187" s="75">
        <v>50</v>
      </c>
      <c r="E187" s="1" t="s">
        <v>7</v>
      </c>
      <c r="F187" s="1" t="s">
        <v>14</v>
      </c>
      <c r="G187" s="1">
        <v>21</v>
      </c>
      <c r="H187" s="1">
        <v>30</v>
      </c>
      <c r="I187" s="1">
        <v>26</v>
      </c>
    </row>
    <row r="188" spans="1:9" x14ac:dyDescent="0.25">
      <c r="A188" s="2" t="s">
        <v>1</v>
      </c>
      <c r="B188" s="1" t="s">
        <v>11</v>
      </c>
      <c r="C188" s="75" t="s">
        <v>6</v>
      </c>
      <c r="D188" s="75">
        <v>51</v>
      </c>
      <c r="E188" s="1" t="s">
        <v>7</v>
      </c>
      <c r="F188" s="1" t="s">
        <v>14</v>
      </c>
      <c r="G188" s="1">
        <v>54</v>
      </c>
      <c r="H188" s="1">
        <v>73</v>
      </c>
      <c r="I188" s="1">
        <v>64</v>
      </c>
    </row>
    <row r="189" spans="1:9" x14ac:dyDescent="0.25">
      <c r="A189" s="2" t="s">
        <v>1</v>
      </c>
      <c r="B189" s="1" t="s">
        <v>11</v>
      </c>
      <c r="C189" s="75" t="s">
        <v>6</v>
      </c>
      <c r="D189" s="75">
        <v>52</v>
      </c>
      <c r="E189" s="1" t="s">
        <v>7</v>
      </c>
      <c r="F189" s="1" t="s">
        <v>14</v>
      </c>
      <c r="G189" s="1">
        <v>50</v>
      </c>
      <c r="H189" s="1">
        <v>62</v>
      </c>
      <c r="I189" s="1">
        <v>63</v>
      </c>
    </row>
    <row r="190" spans="1:9" x14ac:dyDescent="0.25">
      <c r="A190" s="2" t="s">
        <v>1</v>
      </c>
      <c r="B190" s="1" t="s">
        <v>11</v>
      </c>
      <c r="C190" s="75" t="s">
        <v>6</v>
      </c>
      <c r="D190" s="75">
        <v>53</v>
      </c>
      <c r="E190" s="1" t="s">
        <v>7</v>
      </c>
      <c r="F190" s="1" t="s">
        <v>14</v>
      </c>
      <c r="G190" s="1">
        <v>56</v>
      </c>
      <c r="H190" s="1">
        <v>68</v>
      </c>
      <c r="I190" s="1">
        <v>66</v>
      </c>
    </row>
    <row r="191" spans="1:9" x14ac:dyDescent="0.25">
      <c r="A191" s="2" t="s">
        <v>1</v>
      </c>
      <c r="B191" s="1" t="s">
        <v>11</v>
      </c>
      <c r="C191" s="75" t="s">
        <v>6</v>
      </c>
      <c r="D191" s="75">
        <v>54</v>
      </c>
      <c r="E191" s="1" t="s">
        <v>7</v>
      </c>
      <c r="F191" s="1" t="s">
        <v>14</v>
      </c>
      <c r="G191" s="1">
        <v>80</v>
      </c>
      <c r="H191" s="1">
        <v>84</v>
      </c>
      <c r="I191" s="1">
        <v>81</v>
      </c>
    </row>
    <row r="192" spans="1:9" x14ac:dyDescent="0.25">
      <c r="A192" s="2" t="s">
        <v>1</v>
      </c>
      <c r="B192" s="1" t="s">
        <v>11</v>
      </c>
      <c r="C192" s="75" t="s">
        <v>6</v>
      </c>
      <c r="D192" s="75">
        <v>55</v>
      </c>
      <c r="E192" s="1" t="s">
        <v>7</v>
      </c>
      <c r="F192" s="1" t="s">
        <v>14</v>
      </c>
      <c r="G192" s="1">
        <v>61</v>
      </c>
      <c r="H192" s="1">
        <v>57</v>
      </c>
      <c r="I192" s="1">
        <v>55</v>
      </c>
    </row>
    <row r="193" spans="1:9" x14ac:dyDescent="0.25">
      <c r="A193" s="2" t="s">
        <v>1</v>
      </c>
      <c r="B193" s="1" t="s">
        <v>11</v>
      </c>
      <c r="C193" s="75" t="s">
        <v>6</v>
      </c>
      <c r="D193" s="75">
        <v>56</v>
      </c>
      <c r="E193" s="1" t="s">
        <v>7</v>
      </c>
      <c r="F193" s="1" t="s">
        <v>14</v>
      </c>
      <c r="G193" s="1">
        <v>31</v>
      </c>
      <c r="H193" s="1">
        <v>49</v>
      </c>
      <c r="I193" s="1">
        <v>42</v>
      </c>
    </row>
    <row r="194" spans="1:9" x14ac:dyDescent="0.25">
      <c r="A194" s="2" t="s">
        <v>1</v>
      </c>
      <c r="B194" s="1" t="s">
        <v>11</v>
      </c>
      <c r="C194" s="75" t="s">
        <v>6</v>
      </c>
      <c r="D194" s="75">
        <v>57</v>
      </c>
      <c r="E194" s="1" t="s">
        <v>7</v>
      </c>
      <c r="F194" s="1" t="s">
        <v>14</v>
      </c>
      <c r="G194" s="1">
        <v>87</v>
      </c>
      <c r="H194" s="1">
        <v>90</v>
      </c>
      <c r="I194" s="1">
        <v>85</v>
      </c>
    </row>
    <row r="195" spans="1:9" x14ac:dyDescent="0.25">
      <c r="A195" s="2" t="s">
        <v>1</v>
      </c>
      <c r="B195" s="1" t="s">
        <v>11</v>
      </c>
      <c r="C195" s="75" t="s">
        <v>6</v>
      </c>
      <c r="D195" s="75">
        <v>58</v>
      </c>
      <c r="E195" s="1" t="s">
        <v>7</v>
      </c>
      <c r="F195" s="1" t="s">
        <v>14</v>
      </c>
      <c r="G195" s="1">
        <v>59</v>
      </c>
      <c r="H195" s="1">
        <v>63</v>
      </c>
      <c r="I195" s="1">
        <v>61</v>
      </c>
    </row>
    <row r="196" spans="1:9" x14ac:dyDescent="0.25">
      <c r="A196" s="2" t="s">
        <v>1</v>
      </c>
      <c r="B196" s="1" t="s">
        <v>11</v>
      </c>
      <c r="C196" s="75" t="s">
        <v>6</v>
      </c>
      <c r="D196" s="75">
        <v>59</v>
      </c>
      <c r="E196" s="1" t="s">
        <v>7</v>
      </c>
      <c r="F196" s="1" t="s">
        <v>14</v>
      </c>
      <c r="G196" s="1">
        <v>71</v>
      </c>
      <c r="H196" s="1">
        <v>72</v>
      </c>
      <c r="I196" s="1">
        <v>69</v>
      </c>
    </row>
    <row r="197" spans="1:9" x14ac:dyDescent="0.25">
      <c r="A197" s="2" t="s">
        <v>1</v>
      </c>
      <c r="B197" s="1" t="s">
        <v>11</v>
      </c>
      <c r="C197" s="75" t="s">
        <v>6</v>
      </c>
      <c r="D197" s="75">
        <v>60</v>
      </c>
      <c r="E197" s="1" t="s">
        <v>7</v>
      </c>
      <c r="F197" s="1" t="s">
        <v>14</v>
      </c>
      <c r="G197" s="1">
        <v>59</v>
      </c>
      <c r="H197" s="1">
        <v>66</v>
      </c>
      <c r="I197" s="1">
        <v>69</v>
      </c>
    </row>
    <row r="198" spans="1:9" x14ac:dyDescent="0.25">
      <c r="A198" s="2" t="s">
        <v>1</v>
      </c>
      <c r="B198" s="1" t="s">
        <v>11</v>
      </c>
      <c r="C198" s="75" t="s">
        <v>6</v>
      </c>
      <c r="D198" s="75">
        <v>61</v>
      </c>
      <c r="E198" s="1" t="s">
        <v>7</v>
      </c>
      <c r="F198" s="1" t="s">
        <v>15</v>
      </c>
      <c r="G198" s="1">
        <v>63</v>
      </c>
      <c r="H198" s="1">
        <v>73</v>
      </c>
      <c r="I198" s="1">
        <v>74</v>
      </c>
    </row>
    <row r="199" spans="1:9" x14ac:dyDescent="0.25">
      <c r="A199" s="2" t="s">
        <v>1</v>
      </c>
      <c r="B199" s="1" t="s">
        <v>11</v>
      </c>
      <c r="C199" s="75" t="s">
        <v>6</v>
      </c>
      <c r="D199" s="75">
        <v>62</v>
      </c>
      <c r="E199" s="1" t="s">
        <v>7</v>
      </c>
      <c r="F199" s="1" t="s">
        <v>15</v>
      </c>
      <c r="G199" s="1">
        <v>49</v>
      </c>
      <c r="H199" s="1">
        <v>68</v>
      </c>
      <c r="I199" s="1">
        <v>67</v>
      </c>
    </row>
    <row r="200" spans="1:9" x14ac:dyDescent="0.25">
      <c r="A200" s="2" t="s">
        <v>1</v>
      </c>
      <c r="B200" s="1" t="s">
        <v>11</v>
      </c>
      <c r="C200" s="75" t="s">
        <v>6</v>
      </c>
      <c r="D200" s="75">
        <v>63</v>
      </c>
      <c r="E200" s="1" t="s">
        <v>7</v>
      </c>
      <c r="F200" s="1" t="s">
        <v>15</v>
      </c>
      <c r="G200" s="1">
        <v>80</v>
      </c>
      <c r="H200" s="1">
        <v>83</v>
      </c>
      <c r="I200" s="1">
        <v>86</v>
      </c>
    </row>
    <row r="201" spans="1:9" x14ac:dyDescent="0.25">
      <c r="A201" s="2" t="s">
        <v>1</v>
      </c>
      <c r="B201" s="1" t="s">
        <v>11</v>
      </c>
      <c r="C201" s="75" t="s">
        <v>6</v>
      </c>
      <c r="D201" s="75">
        <v>64</v>
      </c>
      <c r="E201" s="1" t="s">
        <v>7</v>
      </c>
      <c r="F201" s="1" t="s">
        <v>15</v>
      </c>
      <c r="G201" s="1">
        <v>55</v>
      </c>
      <c r="H201" s="1">
        <v>72</v>
      </c>
      <c r="I201" s="1">
        <v>70</v>
      </c>
    </row>
    <row r="202" spans="1:9" x14ac:dyDescent="0.25">
      <c r="A202" s="2" t="s">
        <v>1</v>
      </c>
      <c r="B202" s="1" t="s">
        <v>11</v>
      </c>
      <c r="C202" s="75" t="s">
        <v>6</v>
      </c>
      <c r="D202" s="75">
        <v>65</v>
      </c>
      <c r="E202" s="1" t="s">
        <v>7</v>
      </c>
      <c r="F202" s="1" t="s">
        <v>15</v>
      </c>
      <c r="G202" s="1">
        <v>44</v>
      </c>
      <c r="H202" s="1">
        <v>69</v>
      </c>
      <c r="I202" s="1">
        <v>68</v>
      </c>
    </row>
    <row r="203" spans="1:9" x14ac:dyDescent="0.25">
      <c r="A203" s="2" t="s">
        <v>1</v>
      </c>
      <c r="B203" s="1" t="s">
        <v>11</v>
      </c>
      <c r="C203" s="75" t="s">
        <v>6</v>
      </c>
      <c r="D203" s="75">
        <v>66</v>
      </c>
      <c r="E203" s="1" t="s">
        <v>73</v>
      </c>
      <c r="F203" s="1" t="s">
        <v>14</v>
      </c>
      <c r="G203" s="1">
        <v>56</v>
      </c>
      <c r="H203" s="1">
        <v>62</v>
      </c>
      <c r="I203" s="1">
        <v>57</v>
      </c>
    </row>
    <row r="204" spans="1:9" x14ac:dyDescent="0.25">
      <c r="A204" s="2" t="s">
        <v>1</v>
      </c>
      <c r="B204" s="1" t="s">
        <v>11</v>
      </c>
      <c r="C204" s="75" t="s">
        <v>6</v>
      </c>
      <c r="D204" s="75">
        <v>67</v>
      </c>
      <c r="E204" s="1" t="s">
        <v>73</v>
      </c>
      <c r="F204" s="1" t="s">
        <v>14</v>
      </c>
      <c r="G204" s="1">
        <v>76</v>
      </c>
      <c r="H204" s="1">
        <v>90</v>
      </c>
      <c r="I204" s="1">
        <v>84</v>
      </c>
    </row>
    <row r="205" spans="1:9" x14ac:dyDescent="0.25">
      <c r="A205" s="2" t="s">
        <v>1</v>
      </c>
      <c r="B205" s="1" t="s">
        <v>11</v>
      </c>
      <c r="C205" s="75" t="s">
        <v>6</v>
      </c>
      <c r="D205" s="75">
        <v>68</v>
      </c>
      <c r="E205" s="1" t="s">
        <v>73</v>
      </c>
      <c r="F205" s="1" t="s">
        <v>14</v>
      </c>
      <c r="G205" s="1">
        <v>51</v>
      </c>
      <c r="H205" s="1">
        <v>68</v>
      </c>
      <c r="I205" s="1">
        <v>66</v>
      </c>
    </row>
    <row r="206" spans="1:9" x14ac:dyDescent="0.25">
      <c r="A206" s="2" t="s">
        <v>1</v>
      </c>
      <c r="B206" s="1" t="s">
        <v>11</v>
      </c>
      <c r="C206" s="75" t="s">
        <v>6</v>
      </c>
      <c r="D206" s="75">
        <v>69</v>
      </c>
      <c r="E206" s="1" t="s">
        <v>73</v>
      </c>
      <c r="F206" s="1" t="s">
        <v>14</v>
      </c>
      <c r="G206" s="1">
        <v>39</v>
      </c>
      <c r="H206" s="1">
        <v>50</v>
      </c>
      <c r="I206" s="1">
        <v>41</v>
      </c>
    </row>
    <row r="207" spans="1:9" x14ac:dyDescent="0.25">
      <c r="A207" s="2" t="s">
        <v>1</v>
      </c>
      <c r="B207" s="1" t="s">
        <v>11</v>
      </c>
      <c r="C207" s="75" t="s">
        <v>6</v>
      </c>
      <c r="D207" s="75">
        <v>70</v>
      </c>
      <c r="E207" s="1" t="s">
        <v>73</v>
      </c>
      <c r="F207" s="1" t="s">
        <v>14</v>
      </c>
      <c r="G207" s="1">
        <v>24</v>
      </c>
      <c r="H207" s="1">
        <v>48</v>
      </c>
      <c r="I207" s="1">
        <v>46</v>
      </c>
    </row>
    <row r="208" spans="1:9" x14ac:dyDescent="0.25">
      <c r="A208" s="2" t="s">
        <v>1</v>
      </c>
      <c r="B208" s="1" t="s">
        <v>11</v>
      </c>
      <c r="C208" s="75" t="s">
        <v>6</v>
      </c>
      <c r="D208" s="75">
        <v>71</v>
      </c>
      <c r="E208" s="1" t="s">
        <v>73</v>
      </c>
      <c r="F208" s="1" t="s">
        <v>14</v>
      </c>
      <c r="G208" s="1">
        <v>48</v>
      </c>
      <c r="H208" s="1">
        <v>60</v>
      </c>
      <c r="I208" s="1">
        <v>55</v>
      </c>
    </row>
    <row r="209" spans="1:9" x14ac:dyDescent="0.25">
      <c r="A209" s="2" t="s">
        <v>1</v>
      </c>
      <c r="B209" s="1" t="s">
        <v>11</v>
      </c>
      <c r="C209" s="75" t="s">
        <v>6</v>
      </c>
      <c r="D209" s="75">
        <v>72</v>
      </c>
      <c r="E209" s="1" t="s">
        <v>73</v>
      </c>
      <c r="F209" s="1" t="s">
        <v>15</v>
      </c>
      <c r="G209" s="1">
        <v>66</v>
      </c>
      <c r="H209" s="1">
        <v>81</v>
      </c>
      <c r="I209" s="1">
        <v>75</v>
      </c>
    </row>
    <row r="210" spans="1:9" x14ac:dyDescent="0.25">
      <c r="A210" s="2" t="s">
        <v>1</v>
      </c>
      <c r="B210" s="1" t="s">
        <v>11</v>
      </c>
      <c r="C210" s="75" t="s">
        <v>6</v>
      </c>
      <c r="D210" s="75">
        <v>73</v>
      </c>
      <c r="E210" s="1" t="s">
        <v>73</v>
      </c>
      <c r="F210" s="1" t="s">
        <v>15</v>
      </c>
      <c r="G210" s="1">
        <v>34</v>
      </c>
      <c r="H210" s="1">
        <v>66</v>
      </c>
      <c r="I210" s="1">
        <v>59</v>
      </c>
    </row>
    <row r="211" spans="1:9" x14ac:dyDescent="0.25">
      <c r="A211" s="2" t="s">
        <v>1</v>
      </c>
      <c r="B211" s="1" t="s">
        <v>11</v>
      </c>
      <c r="C211" s="75" t="s">
        <v>6</v>
      </c>
      <c r="D211" s="75">
        <v>74</v>
      </c>
      <c r="E211" s="1" t="s">
        <v>73</v>
      </c>
      <c r="F211" s="1" t="s">
        <v>15</v>
      </c>
      <c r="G211" s="1">
        <v>54</v>
      </c>
      <c r="H211" s="1">
        <v>68</v>
      </c>
      <c r="I211" s="1">
        <v>69</v>
      </c>
    </row>
    <row r="212" spans="1:9" x14ac:dyDescent="0.25">
      <c r="A212" s="2" t="s">
        <v>1</v>
      </c>
      <c r="B212" s="1" t="s">
        <v>11</v>
      </c>
      <c r="C212" s="75" t="s">
        <v>6</v>
      </c>
      <c r="D212" s="75">
        <v>75</v>
      </c>
      <c r="E212" s="1" t="s">
        <v>73</v>
      </c>
      <c r="F212" s="1" t="s">
        <v>15</v>
      </c>
      <c r="G212" s="1">
        <v>54</v>
      </c>
      <c r="H212" s="1">
        <v>72</v>
      </c>
      <c r="I212" s="1">
        <v>68</v>
      </c>
    </row>
    <row r="213" spans="1:9" x14ac:dyDescent="0.25">
      <c r="A213" s="2" t="s">
        <v>1</v>
      </c>
      <c r="B213" s="1" t="s">
        <v>11</v>
      </c>
      <c r="C213" s="76" t="s">
        <v>54</v>
      </c>
      <c r="D213" s="76">
        <v>35</v>
      </c>
      <c r="E213" s="1" t="s">
        <v>7</v>
      </c>
      <c r="F213" s="1" t="s">
        <v>14</v>
      </c>
      <c r="G213" s="1">
        <v>55</v>
      </c>
      <c r="H213" s="1">
        <v>68</v>
      </c>
      <c r="I213" s="1">
        <v>73</v>
      </c>
    </row>
    <row r="214" spans="1:9" x14ac:dyDescent="0.25">
      <c r="A214" s="2" t="s">
        <v>1</v>
      </c>
      <c r="B214" s="1" t="s">
        <v>11</v>
      </c>
      <c r="C214" s="76" t="s">
        <v>54</v>
      </c>
      <c r="D214" s="76">
        <v>36</v>
      </c>
      <c r="E214" s="1" t="s">
        <v>7</v>
      </c>
      <c r="F214" s="1" t="s">
        <v>14</v>
      </c>
      <c r="G214" s="1">
        <v>69</v>
      </c>
      <c r="H214" s="1">
        <v>75</v>
      </c>
      <c r="I214" s="1">
        <v>75</v>
      </c>
    </row>
    <row r="215" spans="1:9" x14ac:dyDescent="0.25">
      <c r="A215" s="2" t="s">
        <v>1</v>
      </c>
      <c r="B215" s="1" t="s">
        <v>11</v>
      </c>
      <c r="C215" s="76" t="s">
        <v>54</v>
      </c>
      <c r="D215" s="76">
        <v>37</v>
      </c>
      <c r="E215" s="1" t="s">
        <v>7</v>
      </c>
      <c r="F215" s="1" t="s">
        <v>14</v>
      </c>
      <c r="G215" s="1">
        <v>44</v>
      </c>
      <c r="H215" s="1">
        <v>49</v>
      </c>
      <c r="I215" s="1">
        <v>53</v>
      </c>
    </row>
    <row r="216" spans="1:9" x14ac:dyDescent="0.25">
      <c r="A216" s="2" t="s">
        <v>1</v>
      </c>
      <c r="B216" s="1" t="s">
        <v>11</v>
      </c>
      <c r="C216" s="76" t="s">
        <v>54</v>
      </c>
      <c r="D216" s="76">
        <v>38</v>
      </c>
      <c r="E216" s="1" t="s">
        <v>7</v>
      </c>
      <c r="F216" s="1" t="s">
        <v>14</v>
      </c>
      <c r="G216" s="1">
        <v>78</v>
      </c>
      <c r="H216" s="1">
        <v>78</v>
      </c>
      <c r="I216" s="1">
        <v>82</v>
      </c>
    </row>
    <row r="217" spans="1:9" x14ac:dyDescent="0.25">
      <c r="A217" s="2" t="s">
        <v>1</v>
      </c>
      <c r="B217" s="1" t="s">
        <v>11</v>
      </c>
      <c r="C217" s="76" t="s">
        <v>54</v>
      </c>
      <c r="D217" s="76">
        <v>39</v>
      </c>
      <c r="E217" s="1" t="s">
        <v>7</v>
      </c>
      <c r="F217" s="1" t="s">
        <v>14</v>
      </c>
      <c r="G217" s="1">
        <v>72</v>
      </c>
      <c r="H217" s="1">
        <v>77</v>
      </c>
      <c r="I217" s="1">
        <v>75</v>
      </c>
    </row>
    <row r="218" spans="1:9" x14ac:dyDescent="0.25">
      <c r="A218" s="2" t="s">
        <v>1</v>
      </c>
      <c r="B218" s="1" t="s">
        <v>11</v>
      </c>
      <c r="C218" s="76" t="s">
        <v>54</v>
      </c>
      <c r="D218" s="76">
        <v>40</v>
      </c>
      <c r="E218" s="1" t="s">
        <v>7</v>
      </c>
      <c r="F218" s="1" t="s">
        <v>14</v>
      </c>
      <c r="G218" s="1">
        <v>56</v>
      </c>
      <c r="H218" s="1">
        <v>71</v>
      </c>
      <c r="I218" s="1">
        <v>70</v>
      </c>
    </row>
    <row r="219" spans="1:9" x14ac:dyDescent="0.25">
      <c r="A219" s="2" t="s">
        <v>1</v>
      </c>
      <c r="B219" s="1" t="s">
        <v>11</v>
      </c>
      <c r="C219" s="76" t="s">
        <v>54</v>
      </c>
      <c r="D219" s="76">
        <v>41</v>
      </c>
      <c r="E219" s="1" t="s">
        <v>7</v>
      </c>
      <c r="F219" s="1" t="s">
        <v>14</v>
      </c>
      <c r="G219" s="1">
        <v>57</v>
      </c>
      <c r="H219" s="1">
        <v>67</v>
      </c>
      <c r="I219" s="1">
        <v>64</v>
      </c>
    </row>
    <row r="220" spans="1:9" x14ac:dyDescent="0.25">
      <c r="A220" s="2" t="s">
        <v>1</v>
      </c>
      <c r="B220" s="1" t="s">
        <v>11</v>
      </c>
      <c r="C220" s="76" t="s">
        <v>54</v>
      </c>
      <c r="D220" s="76">
        <v>42</v>
      </c>
      <c r="E220" s="1" t="s">
        <v>7</v>
      </c>
      <c r="F220" s="1" t="s">
        <v>14</v>
      </c>
      <c r="G220" s="1">
        <v>82</v>
      </c>
      <c r="H220" s="1">
        <v>91</v>
      </c>
      <c r="I220" s="1">
        <v>85</v>
      </c>
    </row>
    <row r="221" spans="1:9" x14ac:dyDescent="0.25">
      <c r="A221" s="2" t="s">
        <v>1</v>
      </c>
      <c r="B221" s="1" t="s">
        <v>11</v>
      </c>
      <c r="C221" s="76" t="s">
        <v>54</v>
      </c>
      <c r="D221" s="76">
        <v>43</v>
      </c>
      <c r="E221" s="1" t="s">
        <v>7</v>
      </c>
      <c r="F221" s="1" t="s">
        <v>14</v>
      </c>
      <c r="G221" s="1">
        <v>60</v>
      </c>
      <c r="H221" s="1">
        <v>75</v>
      </c>
      <c r="I221" s="1">
        <v>72</v>
      </c>
    </row>
    <row r="222" spans="1:9" x14ac:dyDescent="0.25">
      <c r="A222" s="2" t="s">
        <v>1</v>
      </c>
      <c r="B222" s="1" t="s">
        <v>11</v>
      </c>
      <c r="C222" s="76" t="s">
        <v>54</v>
      </c>
      <c r="D222" s="76">
        <v>44</v>
      </c>
      <c r="E222" s="1" t="s">
        <v>7</v>
      </c>
      <c r="F222" s="1" t="s">
        <v>14</v>
      </c>
      <c r="G222" s="1">
        <v>69</v>
      </c>
      <c r="H222" s="1">
        <v>82</v>
      </c>
      <c r="I222" s="1">
        <v>78</v>
      </c>
    </row>
    <row r="223" spans="1:9" x14ac:dyDescent="0.25">
      <c r="A223" s="2" t="s">
        <v>1</v>
      </c>
      <c r="B223" s="1" t="s">
        <v>11</v>
      </c>
      <c r="C223" s="76" t="s">
        <v>54</v>
      </c>
      <c r="D223" s="76">
        <v>45</v>
      </c>
      <c r="E223" s="1" t="s">
        <v>7</v>
      </c>
      <c r="F223" s="1" t="s">
        <v>14</v>
      </c>
      <c r="G223" s="1">
        <v>72</v>
      </c>
      <c r="H223" s="1">
        <v>69</v>
      </c>
      <c r="I223" s="1">
        <v>70</v>
      </c>
    </row>
    <row r="224" spans="1:9" x14ac:dyDescent="0.25">
      <c r="A224" s="2" t="s">
        <v>1</v>
      </c>
      <c r="B224" s="1" t="s">
        <v>11</v>
      </c>
      <c r="C224" s="76" t="s">
        <v>54</v>
      </c>
      <c r="D224" s="76">
        <v>46</v>
      </c>
      <c r="E224" s="1" t="s">
        <v>7</v>
      </c>
      <c r="F224" s="1" t="s">
        <v>14</v>
      </c>
      <c r="G224" s="1">
        <v>81</v>
      </c>
      <c r="H224" s="1">
        <v>96</v>
      </c>
      <c r="I224" s="1">
        <v>93</v>
      </c>
    </row>
    <row r="225" spans="1:9" x14ac:dyDescent="0.25">
      <c r="A225" s="2" t="s">
        <v>1</v>
      </c>
      <c r="B225" s="1" t="s">
        <v>11</v>
      </c>
      <c r="C225" s="76" t="s">
        <v>54</v>
      </c>
      <c r="D225" s="76">
        <v>47</v>
      </c>
      <c r="E225" s="1" t="s">
        <v>7</v>
      </c>
      <c r="F225" s="1" t="s">
        <v>14</v>
      </c>
      <c r="G225" s="1">
        <v>65</v>
      </c>
      <c r="H225" s="1">
        <v>85</v>
      </c>
      <c r="I225" s="1">
        <v>80</v>
      </c>
    </row>
    <row r="226" spans="1:9" x14ac:dyDescent="0.25">
      <c r="A226" s="2" t="s">
        <v>1</v>
      </c>
      <c r="B226" s="1" t="s">
        <v>11</v>
      </c>
      <c r="C226" s="76" t="s">
        <v>54</v>
      </c>
      <c r="D226" s="76">
        <v>48</v>
      </c>
      <c r="E226" s="1" t="s">
        <v>7</v>
      </c>
      <c r="F226" s="1" t="s">
        <v>15</v>
      </c>
      <c r="G226" s="1">
        <v>91</v>
      </c>
      <c r="H226" s="1">
        <v>96</v>
      </c>
      <c r="I226" s="1">
        <v>97</v>
      </c>
    </row>
    <row r="227" spans="1:9" x14ac:dyDescent="0.25">
      <c r="A227" s="2" t="s">
        <v>1</v>
      </c>
      <c r="B227" s="1" t="s">
        <v>11</v>
      </c>
      <c r="C227" s="76" t="s">
        <v>54</v>
      </c>
      <c r="D227" s="76">
        <v>49</v>
      </c>
      <c r="E227" s="1" t="s">
        <v>7</v>
      </c>
      <c r="F227" s="1" t="s">
        <v>15</v>
      </c>
      <c r="G227" s="1">
        <v>71</v>
      </c>
      <c r="H227" s="1">
        <v>84</v>
      </c>
      <c r="I227" s="1">
        <v>88</v>
      </c>
    </row>
    <row r="228" spans="1:9" x14ac:dyDescent="0.25">
      <c r="A228" s="2" t="s">
        <v>1</v>
      </c>
      <c r="B228" s="1" t="s">
        <v>11</v>
      </c>
      <c r="C228" s="76" t="s">
        <v>54</v>
      </c>
      <c r="D228" s="76">
        <v>50</v>
      </c>
      <c r="E228" s="1" t="s">
        <v>7</v>
      </c>
      <c r="F228" s="1" t="s">
        <v>15</v>
      </c>
      <c r="G228" s="1">
        <v>77</v>
      </c>
      <c r="H228" s="1">
        <v>90</v>
      </c>
      <c r="I228" s="1">
        <v>97</v>
      </c>
    </row>
    <row r="229" spans="1:9" x14ac:dyDescent="0.25">
      <c r="A229" s="2" t="s">
        <v>1</v>
      </c>
      <c r="B229" s="1" t="s">
        <v>11</v>
      </c>
      <c r="C229" s="76" t="s">
        <v>54</v>
      </c>
      <c r="D229" s="76">
        <v>51</v>
      </c>
      <c r="E229" s="1" t="s">
        <v>7</v>
      </c>
      <c r="F229" s="1" t="s">
        <v>15</v>
      </c>
      <c r="G229" s="1">
        <v>75</v>
      </c>
      <c r="H229" s="1">
        <v>74</v>
      </c>
      <c r="I229" s="1">
        <v>80</v>
      </c>
    </row>
    <row r="230" spans="1:9" x14ac:dyDescent="0.25">
      <c r="A230" s="2" t="s">
        <v>1</v>
      </c>
      <c r="B230" s="1" t="s">
        <v>11</v>
      </c>
      <c r="C230" s="76" t="s">
        <v>54</v>
      </c>
      <c r="D230" s="76">
        <v>52</v>
      </c>
      <c r="E230" s="1" t="s">
        <v>7</v>
      </c>
      <c r="F230" s="1" t="s">
        <v>15</v>
      </c>
      <c r="G230" s="1">
        <v>89</v>
      </c>
      <c r="H230" s="1">
        <v>86</v>
      </c>
      <c r="I230" s="1">
        <v>92</v>
      </c>
    </row>
    <row r="231" spans="1:9" x14ac:dyDescent="0.25">
      <c r="A231" s="2" t="s">
        <v>1</v>
      </c>
      <c r="B231" s="1" t="s">
        <v>11</v>
      </c>
      <c r="C231" s="76" t="s">
        <v>54</v>
      </c>
      <c r="D231" s="76">
        <v>53</v>
      </c>
      <c r="E231" s="1" t="s">
        <v>73</v>
      </c>
      <c r="F231" s="1" t="s">
        <v>14</v>
      </c>
      <c r="G231" s="1">
        <v>52</v>
      </c>
      <c r="H231" s="1">
        <v>65</v>
      </c>
      <c r="I231" s="1">
        <v>60</v>
      </c>
    </row>
    <row r="232" spans="1:9" x14ac:dyDescent="0.25">
      <c r="A232" s="2" t="s">
        <v>1</v>
      </c>
      <c r="B232" s="1" t="s">
        <v>11</v>
      </c>
      <c r="C232" s="76" t="s">
        <v>54</v>
      </c>
      <c r="D232" s="76">
        <v>54</v>
      </c>
      <c r="E232" s="1" t="s">
        <v>73</v>
      </c>
      <c r="F232" s="1" t="s">
        <v>14</v>
      </c>
      <c r="G232" s="1">
        <v>44</v>
      </c>
      <c r="H232" s="1">
        <v>55</v>
      </c>
      <c r="I232" s="1">
        <v>61</v>
      </c>
    </row>
    <row r="233" spans="1:9" x14ac:dyDescent="0.25">
      <c r="A233" s="2" t="s">
        <v>1</v>
      </c>
      <c r="B233" s="1" t="s">
        <v>11</v>
      </c>
      <c r="C233" s="76" t="s">
        <v>54</v>
      </c>
      <c r="D233" s="76">
        <v>55</v>
      </c>
      <c r="E233" s="1" t="s">
        <v>73</v>
      </c>
      <c r="F233" s="1" t="s">
        <v>14</v>
      </c>
      <c r="G233" s="1">
        <v>66</v>
      </c>
      <c r="H233" s="1">
        <v>73</v>
      </c>
      <c r="I233" s="1">
        <v>69</v>
      </c>
    </row>
    <row r="234" spans="1:9" x14ac:dyDescent="0.25">
      <c r="A234" s="2" t="s">
        <v>1</v>
      </c>
      <c r="B234" s="1" t="s">
        <v>11</v>
      </c>
      <c r="C234" s="76" t="s">
        <v>54</v>
      </c>
      <c r="D234" s="76">
        <v>56</v>
      </c>
      <c r="E234" s="1" t="s">
        <v>73</v>
      </c>
      <c r="F234" s="1" t="s">
        <v>14</v>
      </c>
      <c r="G234" s="1">
        <v>28</v>
      </c>
      <c r="H234" s="1">
        <v>32</v>
      </c>
      <c r="I234" s="1">
        <v>28</v>
      </c>
    </row>
    <row r="235" spans="1:9" x14ac:dyDescent="0.25">
      <c r="A235" s="2" t="s">
        <v>1</v>
      </c>
      <c r="B235" s="1" t="s">
        <v>11</v>
      </c>
      <c r="C235" s="76" t="s">
        <v>54</v>
      </c>
      <c r="D235" s="76">
        <v>57</v>
      </c>
      <c r="E235" s="1" t="s">
        <v>73</v>
      </c>
      <c r="F235" s="1" t="s">
        <v>14</v>
      </c>
      <c r="G235" s="1">
        <v>35</v>
      </c>
      <c r="H235" s="1">
        <v>40</v>
      </c>
      <c r="I235" s="1">
        <v>45</v>
      </c>
    </row>
    <row r="236" spans="1:9" x14ac:dyDescent="0.25">
      <c r="A236" s="2" t="s">
        <v>1</v>
      </c>
      <c r="B236" s="1" t="s">
        <v>11</v>
      </c>
      <c r="C236" s="76" t="s">
        <v>54</v>
      </c>
      <c r="D236" s="76">
        <v>58</v>
      </c>
      <c r="E236" s="1" t="s">
        <v>73</v>
      </c>
      <c r="F236" s="1" t="s">
        <v>14</v>
      </c>
      <c r="G236" s="1">
        <v>65</v>
      </c>
      <c r="H236" s="1">
        <v>66</v>
      </c>
      <c r="I236" s="1">
        <v>66</v>
      </c>
    </row>
    <row r="237" spans="1:9" x14ac:dyDescent="0.25">
      <c r="A237" s="2" t="s">
        <v>1</v>
      </c>
      <c r="B237" s="1" t="s">
        <v>11</v>
      </c>
      <c r="C237" s="76" t="s">
        <v>54</v>
      </c>
      <c r="D237" s="76">
        <v>59</v>
      </c>
      <c r="E237" s="1" t="s">
        <v>73</v>
      </c>
      <c r="F237" s="1" t="s">
        <v>15</v>
      </c>
      <c r="G237" s="1">
        <v>68</v>
      </c>
      <c r="H237" s="1">
        <v>84</v>
      </c>
      <c r="I237" s="1">
        <v>87</v>
      </c>
    </row>
    <row r="238" spans="1:9" x14ac:dyDescent="0.25">
      <c r="A238" s="2" t="s">
        <v>1</v>
      </c>
      <c r="B238" s="1" t="s">
        <v>11</v>
      </c>
      <c r="C238" s="76" t="s">
        <v>54</v>
      </c>
      <c r="D238" s="76">
        <v>60</v>
      </c>
      <c r="E238" s="1" t="s">
        <v>73</v>
      </c>
      <c r="F238" s="1" t="s">
        <v>15</v>
      </c>
      <c r="G238" s="1">
        <v>89</v>
      </c>
      <c r="H238" s="1">
        <v>98</v>
      </c>
      <c r="I238" s="1">
        <v>99</v>
      </c>
    </row>
    <row r="239" spans="1:9" x14ac:dyDescent="0.25">
      <c r="A239" s="2" t="s">
        <v>1</v>
      </c>
      <c r="B239" s="1" t="s">
        <v>11</v>
      </c>
      <c r="C239" s="76" t="s">
        <v>54</v>
      </c>
      <c r="D239" s="76">
        <v>61</v>
      </c>
      <c r="E239" s="1" t="s">
        <v>73</v>
      </c>
      <c r="F239" s="1" t="s">
        <v>15</v>
      </c>
      <c r="G239" s="1">
        <v>52</v>
      </c>
      <c r="H239" s="1">
        <v>64</v>
      </c>
      <c r="I239" s="1">
        <v>66</v>
      </c>
    </row>
    <row r="240" spans="1:9" x14ac:dyDescent="0.25">
      <c r="A240" s="2" t="s">
        <v>1</v>
      </c>
      <c r="B240" s="1" t="s">
        <v>11</v>
      </c>
      <c r="C240" s="76" t="s">
        <v>54</v>
      </c>
      <c r="D240" s="76">
        <v>62</v>
      </c>
      <c r="E240" s="1" t="s">
        <v>73</v>
      </c>
      <c r="F240" s="1" t="s">
        <v>15</v>
      </c>
      <c r="G240" s="1">
        <v>79</v>
      </c>
      <c r="H240" s="1">
        <v>89</v>
      </c>
      <c r="I240" s="1">
        <v>96</v>
      </c>
    </row>
    <row r="241" spans="1:9" x14ac:dyDescent="0.25">
      <c r="A241" s="2" t="s">
        <v>1</v>
      </c>
      <c r="B241" s="1" t="s">
        <v>11</v>
      </c>
      <c r="C241" s="76" t="s">
        <v>54</v>
      </c>
      <c r="D241" s="76">
        <v>63</v>
      </c>
      <c r="E241" s="1" t="s">
        <v>73</v>
      </c>
      <c r="F241" s="1" t="s">
        <v>15</v>
      </c>
      <c r="G241" s="1">
        <v>69</v>
      </c>
      <c r="H241" s="1">
        <v>76</v>
      </c>
      <c r="I241" s="1">
        <v>82</v>
      </c>
    </row>
    <row r="242" spans="1:9" x14ac:dyDescent="0.25">
      <c r="A242" s="2" t="s">
        <v>1</v>
      </c>
      <c r="B242" s="1" t="s">
        <v>11</v>
      </c>
      <c r="C242" s="76" t="s">
        <v>54</v>
      </c>
      <c r="D242" s="76">
        <v>64</v>
      </c>
      <c r="E242" s="1" t="s">
        <v>73</v>
      </c>
      <c r="F242" s="1" t="s">
        <v>15</v>
      </c>
      <c r="G242" s="1">
        <v>79</v>
      </c>
      <c r="H242" s="1">
        <v>92</v>
      </c>
      <c r="I242" s="1">
        <v>97</v>
      </c>
    </row>
    <row r="243" spans="1:9" x14ac:dyDescent="0.25">
      <c r="A243" s="2" t="s">
        <v>1</v>
      </c>
      <c r="B243" s="1" t="s">
        <v>11</v>
      </c>
      <c r="C243" s="76" t="s">
        <v>54</v>
      </c>
      <c r="D243" s="76">
        <v>65</v>
      </c>
      <c r="E243" s="1" t="s">
        <v>73</v>
      </c>
      <c r="F243" s="1" t="s">
        <v>15</v>
      </c>
      <c r="G243" s="1">
        <v>42</v>
      </c>
      <c r="H243" s="1">
        <v>50</v>
      </c>
      <c r="I243" s="1">
        <v>61</v>
      </c>
    </row>
    <row r="244" spans="1:9" x14ac:dyDescent="0.25">
      <c r="A244" s="2" t="s">
        <v>1</v>
      </c>
      <c r="B244" s="1" t="s">
        <v>11</v>
      </c>
      <c r="C244" s="77" t="s">
        <v>42</v>
      </c>
      <c r="D244" s="77">
        <v>28</v>
      </c>
      <c r="E244" s="1" t="s">
        <v>7</v>
      </c>
      <c r="F244" s="1" t="s">
        <v>14</v>
      </c>
      <c r="G244" s="1">
        <v>62</v>
      </c>
      <c r="H244" s="1">
        <v>64</v>
      </c>
      <c r="I244" s="1">
        <v>61</v>
      </c>
    </row>
    <row r="245" spans="1:9" x14ac:dyDescent="0.25">
      <c r="A245" s="2" t="s">
        <v>1</v>
      </c>
      <c r="B245" s="1" t="s">
        <v>11</v>
      </c>
      <c r="C245" s="77" t="s">
        <v>42</v>
      </c>
      <c r="D245" s="77">
        <v>29</v>
      </c>
      <c r="E245" s="1" t="s">
        <v>7</v>
      </c>
      <c r="F245" s="1" t="s">
        <v>14</v>
      </c>
      <c r="G245" s="1">
        <v>71</v>
      </c>
      <c r="H245" s="1">
        <v>88</v>
      </c>
      <c r="I245" s="1">
        <v>83</v>
      </c>
    </row>
    <row r="246" spans="1:9" x14ac:dyDescent="0.25">
      <c r="A246" s="2" t="s">
        <v>1</v>
      </c>
      <c r="B246" s="1" t="s">
        <v>11</v>
      </c>
      <c r="C246" s="77" t="s">
        <v>42</v>
      </c>
      <c r="D246" s="77">
        <v>30</v>
      </c>
      <c r="E246" s="1" t="s">
        <v>7</v>
      </c>
      <c r="F246" s="1" t="s">
        <v>14</v>
      </c>
      <c r="G246" s="1">
        <v>56</v>
      </c>
      <c r="H246" s="1">
        <v>58</v>
      </c>
      <c r="I246" s="1">
        <v>55</v>
      </c>
    </row>
    <row r="247" spans="1:9" x14ac:dyDescent="0.25">
      <c r="A247" s="2" t="s">
        <v>1</v>
      </c>
      <c r="B247" s="1" t="s">
        <v>11</v>
      </c>
      <c r="C247" s="77" t="s">
        <v>42</v>
      </c>
      <c r="D247" s="77">
        <v>31</v>
      </c>
      <c r="E247" s="1" t="s">
        <v>7</v>
      </c>
      <c r="F247" s="1" t="s">
        <v>14</v>
      </c>
      <c r="G247" s="1">
        <v>71</v>
      </c>
      <c r="H247" s="1">
        <v>69</v>
      </c>
      <c r="I247" s="1">
        <v>73</v>
      </c>
    </row>
    <row r="248" spans="1:9" x14ac:dyDescent="0.25">
      <c r="A248" s="2" t="s">
        <v>1</v>
      </c>
      <c r="B248" s="1" t="s">
        <v>11</v>
      </c>
      <c r="C248" s="77" t="s">
        <v>42</v>
      </c>
      <c r="D248" s="77">
        <v>32</v>
      </c>
      <c r="E248" s="1" t="s">
        <v>7</v>
      </c>
      <c r="F248" s="1" t="s">
        <v>14</v>
      </c>
      <c r="G248" s="1">
        <v>82</v>
      </c>
      <c r="H248" s="1">
        <v>84</v>
      </c>
      <c r="I248" s="1">
        <v>83</v>
      </c>
    </row>
    <row r="249" spans="1:9" x14ac:dyDescent="0.25">
      <c r="A249" s="2" t="s">
        <v>1</v>
      </c>
      <c r="B249" s="1" t="s">
        <v>11</v>
      </c>
      <c r="C249" s="77" t="s">
        <v>42</v>
      </c>
      <c r="D249" s="77">
        <v>33</v>
      </c>
      <c r="E249" s="1" t="s">
        <v>7</v>
      </c>
      <c r="F249" s="1" t="s">
        <v>14</v>
      </c>
      <c r="G249" s="1">
        <v>84</v>
      </c>
      <c r="H249" s="1">
        <v>88</v>
      </c>
      <c r="I249" s="1">
        <v>84</v>
      </c>
    </row>
    <row r="250" spans="1:9" x14ac:dyDescent="0.25">
      <c r="A250" s="2" t="s">
        <v>1</v>
      </c>
      <c r="B250" s="1" t="s">
        <v>11</v>
      </c>
      <c r="C250" s="77" t="s">
        <v>42</v>
      </c>
      <c r="D250" s="77">
        <v>34</v>
      </c>
      <c r="E250" s="1" t="s">
        <v>7</v>
      </c>
      <c r="F250" s="1" t="s">
        <v>14</v>
      </c>
      <c r="G250" s="1">
        <v>61</v>
      </c>
      <c r="H250" s="1">
        <v>64</v>
      </c>
      <c r="I250" s="1">
        <v>54</v>
      </c>
    </row>
    <row r="251" spans="1:9" x14ac:dyDescent="0.25">
      <c r="A251" s="2" t="s">
        <v>1</v>
      </c>
      <c r="B251" s="1" t="s">
        <v>11</v>
      </c>
      <c r="C251" s="77" t="s">
        <v>42</v>
      </c>
      <c r="D251" s="77">
        <v>35</v>
      </c>
      <c r="E251" s="1" t="s">
        <v>7</v>
      </c>
      <c r="F251" s="1" t="s">
        <v>14</v>
      </c>
      <c r="G251" s="1">
        <v>51</v>
      </c>
      <c r="H251" s="1">
        <v>57</v>
      </c>
      <c r="I251" s="1">
        <v>60</v>
      </c>
    </row>
    <row r="252" spans="1:9" x14ac:dyDescent="0.25">
      <c r="A252" s="2" t="s">
        <v>1</v>
      </c>
      <c r="B252" s="1" t="s">
        <v>11</v>
      </c>
      <c r="C252" s="77" t="s">
        <v>42</v>
      </c>
      <c r="D252" s="77">
        <v>36</v>
      </c>
      <c r="E252" s="1" t="s">
        <v>7</v>
      </c>
      <c r="F252" s="1" t="s">
        <v>14</v>
      </c>
      <c r="G252" s="1">
        <v>66</v>
      </c>
      <c r="H252" s="1">
        <v>78</v>
      </c>
      <c r="I252" s="1">
        <v>75</v>
      </c>
    </row>
    <row r="253" spans="1:9" x14ac:dyDescent="0.25">
      <c r="A253" s="2" t="s">
        <v>1</v>
      </c>
      <c r="B253" s="1" t="s">
        <v>11</v>
      </c>
      <c r="C253" s="77" t="s">
        <v>42</v>
      </c>
      <c r="D253" s="77">
        <v>37</v>
      </c>
      <c r="E253" s="1" t="s">
        <v>7</v>
      </c>
      <c r="F253" s="1" t="s">
        <v>14</v>
      </c>
      <c r="G253" s="1">
        <v>81</v>
      </c>
      <c r="H253" s="1">
        <v>93</v>
      </c>
      <c r="I253" s="1">
        <v>94</v>
      </c>
    </row>
    <row r="254" spans="1:9" x14ac:dyDescent="0.25">
      <c r="A254" s="2" t="s">
        <v>1</v>
      </c>
      <c r="B254" s="1" t="s">
        <v>11</v>
      </c>
      <c r="C254" s="77" t="s">
        <v>42</v>
      </c>
      <c r="D254" s="77">
        <v>38</v>
      </c>
      <c r="E254" s="1" t="s">
        <v>7</v>
      </c>
      <c r="F254" s="1" t="s">
        <v>14</v>
      </c>
      <c r="G254" s="1">
        <v>53</v>
      </c>
      <c r="H254" s="1">
        <v>59</v>
      </c>
      <c r="I254" s="1">
        <v>59</v>
      </c>
    </row>
    <row r="255" spans="1:9" x14ac:dyDescent="0.25">
      <c r="A255" s="2" t="s">
        <v>1</v>
      </c>
      <c r="B255" s="1" t="s">
        <v>11</v>
      </c>
      <c r="C255" s="77" t="s">
        <v>42</v>
      </c>
      <c r="D255" s="77">
        <v>39</v>
      </c>
      <c r="E255" s="1" t="s">
        <v>7</v>
      </c>
      <c r="F255" s="1" t="s">
        <v>14</v>
      </c>
      <c r="G255" s="1">
        <v>85</v>
      </c>
      <c r="H255" s="1">
        <v>92</v>
      </c>
      <c r="I255" s="1">
        <v>84</v>
      </c>
    </row>
    <row r="256" spans="1:9" x14ac:dyDescent="0.25">
      <c r="A256" s="2" t="s">
        <v>1</v>
      </c>
      <c r="B256" s="1" t="s">
        <v>11</v>
      </c>
      <c r="C256" s="77" t="s">
        <v>42</v>
      </c>
      <c r="D256" s="77">
        <v>40</v>
      </c>
      <c r="E256" s="1" t="s">
        <v>7</v>
      </c>
      <c r="F256" s="1" t="s">
        <v>14</v>
      </c>
      <c r="G256" s="1">
        <v>45</v>
      </c>
      <c r="H256" s="1">
        <v>46</v>
      </c>
      <c r="I256" s="1">
        <v>47</v>
      </c>
    </row>
    <row r="257" spans="1:9" x14ac:dyDescent="0.25">
      <c r="A257" s="2" t="s">
        <v>1</v>
      </c>
      <c r="B257" s="1" t="s">
        <v>11</v>
      </c>
      <c r="C257" s="77" t="s">
        <v>42</v>
      </c>
      <c r="D257" s="77">
        <v>41</v>
      </c>
      <c r="E257" s="1" t="s">
        <v>7</v>
      </c>
      <c r="F257" s="1" t="s">
        <v>14</v>
      </c>
      <c r="G257" s="1">
        <v>46</v>
      </c>
      <c r="H257" s="1">
        <v>52</v>
      </c>
      <c r="I257" s="1">
        <v>48</v>
      </c>
    </row>
    <row r="258" spans="1:9" x14ac:dyDescent="0.25">
      <c r="A258" s="2" t="s">
        <v>1</v>
      </c>
      <c r="B258" s="1" t="s">
        <v>11</v>
      </c>
      <c r="C258" s="77" t="s">
        <v>42</v>
      </c>
      <c r="D258" s="77">
        <v>42</v>
      </c>
      <c r="E258" s="1" t="s">
        <v>7</v>
      </c>
      <c r="F258" s="1" t="s">
        <v>14</v>
      </c>
      <c r="G258" s="1">
        <v>77</v>
      </c>
      <c r="H258" s="1">
        <v>85</v>
      </c>
      <c r="I258" s="1">
        <v>85</v>
      </c>
    </row>
    <row r="259" spans="1:9" x14ac:dyDescent="0.25">
      <c r="A259" s="2" t="s">
        <v>1</v>
      </c>
      <c r="B259" s="1" t="s">
        <v>11</v>
      </c>
      <c r="C259" s="77" t="s">
        <v>42</v>
      </c>
      <c r="D259" s="77">
        <v>43</v>
      </c>
      <c r="E259" s="1" t="s">
        <v>7</v>
      </c>
      <c r="F259" s="1" t="s">
        <v>14</v>
      </c>
      <c r="G259" s="1">
        <v>59</v>
      </c>
      <c r="H259" s="1">
        <v>72</v>
      </c>
      <c r="I259" s="1">
        <v>70</v>
      </c>
    </row>
    <row r="260" spans="1:9" x14ac:dyDescent="0.25">
      <c r="A260" s="2" t="s">
        <v>1</v>
      </c>
      <c r="B260" s="1" t="s">
        <v>11</v>
      </c>
      <c r="C260" s="77" t="s">
        <v>42</v>
      </c>
      <c r="D260" s="77">
        <v>44</v>
      </c>
      <c r="E260" s="1" t="s">
        <v>7</v>
      </c>
      <c r="F260" s="1" t="s">
        <v>14</v>
      </c>
      <c r="G260" s="1">
        <v>77</v>
      </c>
      <c r="H260" s="1">
        <v>79</v>
      </c>
      <c r="I260" s="1">
        <v>78</v>
      </c>
    </row>
    <row r="261" spans="1:9" x14ac:dyDescent="0.25">
      <c r="A261" s="2" t="s">
        <v>1</v>
      </c>
      <c r="B261" s="1" t="s">
        <v>11</v>
      </c>
      <c r="C261" s="77" t="s">
        <v>42</v>
      </c>
      <c r="D261" s="77">
        <v>45</v>
      </c>
      <c r="E261" s="1" t="s">
        <v>7</v>
      </c>
      <c r="F261" s="1" t="s">
        <v>14</v>
      </c>
      <c r="G261" s="1">
        <v>51</v>
      </c>
      <c r="H261" s="1">
        <v>72</v>
      </c>
      <c r="I261" s="1">
        <v>63</v>
      </c>
    </row>
    <row r="262" spans="1:9" x14ac:dyDescent="0.25">
      <c r="A262" s="2" t="s">
        <v>1</v>
      </c>
      <c r="B262" s="1" t="s">
        <v>11</v>
      </c>
      <c r="C262" s="77" t="s">
        <v>42</v>
      </c>
      <c r="D262" s="77">
        <v>46</v>
      </c>
      <c r="E262" s="1" t="s">
        <v>7</v>
      </c>
      <c r="F262" s="1" t="s">
        <v>14</v>
      </c>
      <c r="G262" s="1">
        <v>79</v>
      </c>
      <c r="H262" s="1">
        <v>93</v>
      </c>
      <c r="I262" s="1">
        <v>81</v>
      </c>
    </row>
    <row r="263" spans="1:9" x14ac:dyDescent="0.25">
      <c r="A263" s="2" t="s">
        <v>1</v>
      </c>
      <c r="B263" s="1" t="s">
        <v>11</v>
      </c>
      <c r="C263" s="77" t="s">
        <v>42</v>
      </c>
      <c r="D263" s="77">
        <v>47</v>
      </c>
      <c r="E263" s="1" t="s">
        <v>7</v>
      </c>
      <c r="F263" s="1" t="s">
        <v>15</v>
      </c>
      <c r="G263" s="1">
        <v>73</v>
      </c>
      <c r="H263" s="1">
        <v>86</v>
      </c>
      <c r="I263" s="1">
        <v>89</v>
      </c>
    </row>
    <row r="264" spans="1:9" x14ac:dyDescent="0.25">
      <c r="A264" s="2" t="s">
        <v>1</v>
      </c>
      <c r="B264" s="1" t="s">
        <v>11</v>
      </c>
      <c r="C264" s="77" t="s">
        <v>42</v>
      </c>
      <c r="D264" s="77">
        <v>48</v>
      </c>
      <c r="E264" s="1" t="s">
        <v>7</v>
      </c>
      <c r="F264" s="1" t="s">
        <v>15</v>
      </c>
      <c r="G264" s="1">
        <v>84</v>
      </c>
      <c r="H264" s="1">
        <v>88</v>
      </c>
      <c r="I264" s="1">
        <v>87</v>
      </c>
    </row>
    <row r="265" spans="1:9" x14ac:dyDescent="0.25">
      <c r="A265" s="2" t="s">
        <v>1</v>
      </c>
      <c r="B265" s="1" t="s">
        <v>11</v>
      </c>
      <c r="C265" s="77" t="s">
        <v>42</v>
      </c>
      <c r="D265" s="77">
        <v>49</v>
      </c>
      <c r="E265" s="1" t="s">
        <v>7</v>
      </c>
      <c r="F265" s="1" t="s">
        <v>15</v>
      </c>
      <c r="G265" s="1">
        <v>81</v>
      </c>
      <c r="H265" s="1">
        <v>90</v>
      </c>
      <c r="I265" s="1">
        <v>93</v>
      </c>
    </row>
    <row r="266" spans="1:9" x14ac:dyDescent="0.25">
      <c r="A266" s="2" t="s">
        <v>1</v>
      </c>
      <c r="B266" s="1" t="s">
        <v>11</v>
      </c>
      <c r="C266" s="77" t="s">
        <v>42</v>
      </c>
      <c r="D266" s="77">
        <v>50</v>
      </c>
      <c r="E266" s="1" t="s">
        <v>7</v>
      </c>
      <c r="F266" s="1" t="s">
        <v>15</v>
      </c>
      <c r="G266" s="1">
        <v>67</v>
      </c>
      <c r="H266" s="1">
        <v>74</v>
      </c>
      <c r="I266" s="1">
        <v>81</v>
      </c>
    </row>
    <row r="267" spans="1:9" x14ac:dyDescent="0.25">
      <c r="A267" s="2" t="s">
        <v>1</v>
      </c>
      <c r="B267" s="1" t="s">
        <v>11</v>
      </c>
      <c r="C267" s="77" t="s">
        <v>42</v>
      </c>
      <c r="D267" s="77">
        <v>51</v>
      </c>
      <c r="E267" s="1" t="s">
        <v>7</v>
      </c>
      <c r="F267" s="1" t="s">
        <v>15</v>
      </c>
      <c r="G267" s="1">
        <v>59</v>
      </c>
      <c r="H267" s="1">
        <v>66</v>
      </c>
      <c r="I267" s="1">
        <v>71</v>
      </c>
    </row>
    <row r="268" spans="1:9" x14ac:dyDescent="0.25">
      <c r="A268" s="2" t="s">
        <v>1</v>
      </c>
      <c r="B268" s="1" t="s">
        <v>11</v>
      </c>
      <c r="C268" s="77" t="s">
        <v>42</v>
      </c>
      <c r="D268" s="77">
        <v>52</v>
      </c>
      <c r="E268" s="1" t="s">
        <v>7</v>
      </c>
      <c r="F268" s="1" t="s">
        <v>15</v>
      </c>
      <c r="G268" s="1">
        <v>80</v>
      </c>
      <c r="H268" s="1">
        <v>88</v>
      </c>
      <c r="I268" s="1">
        <v>90</v>
      </c>
    </row>
    <row r="269" spans="1:9" x14ac:dyDescent="0.25">
      <c r="A269" s="2" t="s">
        <v>1</v>
      </c>
      <c r="B269" s="1" t="s">
        <v>11</v>
      </c>
      <c r="C269" s="77" t="s">
        <v>42</v>
      </c>
      <c r="D269" s="77">
        <v>53</v>
      </c>
      <c r="E269" s="1" t="s">
        <v>73</v>
      </c>
      <c r="F269" s="1" t="s">
        <v>14</v>
      </c>
      <c r="G269" s="1">
        <v>35</v>
      </c>
      <c r="H269" s="1">
        <v>47</v>
      </c>
      <c r="I269" s="1">
        <v>41</v>
      </c>
    </row>
    <row r="270" spans="1:9" x14ac:dyDescent="0.25">
      <c r="A270" s="2" t="s">
        <v>1</v>
      </c>
      <c r="B270" s="1" t="s">
        <v>11</v>
      </c>
      <c r="C270" s="77" t="s">
        <v>42</v>
      </c>
      <c r="D270" s="77">
        <v>54</v>
      </c>
      <c r="E270" s="1" t="s">
        <v>73</v>
      </c>
      <c r="F270" s="1" t="s">
        <v>14</v>
      </c>
      <c r="G270" s="1">
        <v>43</v>
      </c>
      <c r="H270" s="1">
        <v>58</v>
      </c>
      <c r="I270" s="1">
        <v>60</v>
      </c>
    </row>
    <row r="271" spans="1:9" x14ac:dyDescent="0.25">
      <c r="A271" s="2" t="s">
        <v>1</v>
      </c>
      <c r="B271" s="1" t="s">
        <v>11</v>
      </c>
      <c r="C271" s="77" t="s">
        <v>42</v>
      </c>
      <c r="D271" s="77">
        <v>55</v>
      </c>
      <c r="E271" s="1" t="s">
        <v>73</v>
      </c>
      <c r="F271" s="1" t="s">
        <v>14</v>
      </c>
      <c r="G271" s="1">
        <v>43</v>
      </c>
      <c r="H271" s="1">
        <v>65</v>
      </c>
      <c r="I271" s="1">
        <v>60</v>
      </c>
    </row>
    <row r="272" spans="1:9" x14ac:dyDescent="0.25">
      <c r="A272" s="2" t="s">
        <v>1</v>
      </c>
      <c r="B272" s="1" t="s">
        <v>11</v>
      </c>
      <c r="C272" s="77" t="s">
        <v>42</v>
      </c>
      <c r="D272" s="77">
        <v>56</v>
      </c>
      <c r="E272" s="1" t="s">
        <v>73</v>
      </c>
      <c r="F272" s="1" t="s">
        <v>14</v>
      </c>
      <c r="G272" s="1">
        <v>68</v>
      </c>
      <c r="H272" s="1">
        <v>64</v>
      </c>
      <c r="I272" s="1">
        <v>64</v>
      </c>
    </row>
    <row r="273" spans="1:9" x14ac:dyDescent="0.25">
      <c r="A273" s="2" t="s">
        <v>1</v>
      </c>
      <c r="B273" s="1" t="s">
        <v>11</v>
      </c>
      <c r="C273" s="77" t="s">
        <v>42</v>
      </c>
      <c r="D273" s="77">
        <v>57</v>
      </c>
      <c r="E273" s="1" t="s">
        <v>73</v>
      </c>
      <c r="F273" s="1" t="s">
        <v>14</v>
      </c>
      <c r="G273" s="1">
        <v>70</v>
      </c>
      <c r="H273" s="1">
        <v>81</v>
      </c>
      <c r="I273" s="1">
        <v>76</v>
      </c>
    </row>
    <row r="274" spans="1:9" x14ac:dyDescent="0.25">
      <c r="A274" s="2" t="s">
        <v>1</v>
      </c>
      <c r="B274" s="1" t="s">
        <v>11</v>
      </c>
      <c r="C274" s="77" t="s">
        <v>42</v>
      </c>
      <c r="D274" s="77">
        <v>58</v>
      </c>
      <c r="E274" s="1" t="s">
        <v>73</v>
      </c>
      <c r="F274" s="1" t="s">
        <v>14</v>
      </c>
      <c r="G274" s="1">
        <v>62</v>
      </c>
      <c r="H274" s="1">
        <v>74</v>
      </c>
      <c r="I274" s="1">
        <v>74</v>
      </c>
    </row>
    <row r="275" spans="1:9" x14ac:dyDescent="0.25">
      <c r="A275" s="2" t="s">
        <v>1</v>
      </c>
      <c r="B275" s="1" t="s">
        <v>11</v>
      </c>
      <c r="C275" s="77" t="s">
        <v>42</v>
      </c>
      <c r="D275" s="77">
        <v>59</v>
      </c>
      <c r="E275" s="1" t="s">
        <v>73</v>
      </c>
      <c r="F275" s="1" t="s">
        <v>15</v>
      </c>
      <c r="G275" s="1">
        <v>41</v>
      </c>
      <c r="H275" s="1">
        <v>59</v>
      </c>
      <c r="I275" s="1">
        <v>56</v>
      </c>
    </row>
    <row r="276" spans="1:9" x14ac:dyDescent="0.25">
      <c r="A276" s="2" t="s">
        <v>1</v>
      </c>
      <c r="B276" s="1" t="s">
        <v>11</v>
      </c>
      <c r="C276" s="77" t="s">
        <v>42</v>
      </c>
      <c r="D276" s="77">
        <v>60</v>
      </c>
      <c r="E276" s="1" t="s">
        <v>73</v>
      </c>
      <c r="F276" s="1" t="s">
        <v>15</v>
      </c>
      <c r="G276" s="1">
        <v>60</v>
      </c>
      <c r="H276" s="1">
        <v>80</v>
      </c>
      <c r="I276" s="1">
        <v>76</v>
      </c>
    </row>
    <row r="277" spans="1:9" x14ac:dyDescent="0.25">
      <c r="A277" s="2" t="s">
        <v>1</v>
      </c>
      <c r="B277" s="1" t="s">
        <v>11</v>
      </c>
      <c r="C277" s="77" t="s">
        <v>42</v>
      </c>
      <c r="D277" s="77">
        <v>61</v>
      </c>
      <c r="E277" s="1" t="s">
        <v>73</v>
      </c>
      <c r="F277" s="1" t="s">
        <v>15</v>
      </c>
      <c r="G277" s="1">
        <v>44</v>
      </c>
      <c r="H277" s="1">
        <v>44</v>
      </c>
      <c r="I277" s="1">
        <v>53</v>
      </c>
    </row>
    <row r="278" spans="1:9" x14ac:dyDescent="0.25">
      <c r="A278" s="2" t="s">
        <v>1</v>
      </c>
      <c r="B278" s="1" t="s">
        <v>11</v>
      </c>
      <c r="C278" s="77" t="s">
        <v>42</v>
      </c>
      <c r="D278" s="77">
        <v>62</v>
      </c>
      <c r="E278" s="1" t="s">
        <v>73</v>
      </c>
      <c r="F278" s="1" t="s">
        <v>15</v>
      </c>
      <c r="G278" s="1">
        <v>62</v>
      </c>
      <c r="H278" s="1">
        <v>78</v>
      </c>
      <c r="I278" s="1">
        <v>71</v>
      </c>
    </row>
    <row r="279" spans="1:9" x14ac:dyDescent="0.25">
      <c r="A279" s="2" t="s">
        <v>1</v>
      </c>
      <c r="B279" s="1" t="s">
        <v>11</v>
      </c>
      <c r="C279" s="77" t="s">
        <v>42</v>
      </c>
      <c r="D279" s="77">
        <v>63</v>
      </c>
      <c r="E279" s="1" t="s">
        <v>73</v>
      </c>
      <c r="F279" s="1" t="s">
        <v>15</v>
      </c>
      <c r="G279" s="1">
        <v>67</v>
      </c>
      <c r="H279" s="1">
        <v>89</v>
      </c>
      <c r="I279" s="1">
        <v>89</v>
      </c>
    </row>
    <row r="280" spans="1:9" x14ac:dyDescent="0.25">
      <c r="A280" s="2" t="s">
        <v>1</v>
      </c>
      <c r="B280" s="1" t="s">
        <v>11</v>
      </c>
      <c r="C280" s="77" t="s">
        <v>42</v>
      </c>
      <c r="D280" s="77">
        <v>64</v>
      </c>
      <c r="E280" s="1" t="s">
        <v>73</v>
      </c>
      <c r="F280" s="1" t="s">
        <v>15</v>
      </c>
      <c r="G280" s="1">
        <v>64</v>
      </c>
      <c r="H280" s="1">
        <v>81</v>
      </c>
      <c r="I280" s="1">
        <v>87</v>
      </c>
    </row>
    <row r="281" spans="1:9" x14ac:dyDescent="0.25">
      <c r="A281" s="2" t="s">
        <v>1</v>
      </c>
      <c r="B281" s="1" t="s">
        <v>11</v>
      </c>
      <c r="C281" s="78" t="s">
        <v>52</v>
      </c>
      <c r="D281" s="78">
        <v>18</v>
      </c>
      <c r="E281" s="1" t="s">
        <v>7</v>
      </c>
      <c r="F281" s="1" t="s">
        <v>14</v>
      </c>
      <c r="G281" s="1">
        <v>79</v>
      </c>
      <c r="H281" s="1">
        <v>86</v>
      </c>
      <c r="I281" s="1">
        <v>78</v>
      </c>
    </row>
    <row r="282" spans="1:9" x14ac:dyDescent="0.25">
      <c r="A282" s="2" t="s">
        <v>1</v>
      </c>
      <c r="B282" s="1" t="s">
        <v>11</v>
      </c>
      <c r="C282" s="78" t="s">
        <v>52</v>
      </c>
      <c r="D282" s="78">
        <v>19</v>
      </c>
      <c r="E282" s="1" t="s">
        <v>7</v>
      </c>
      <c r="F282" s="1" t="s">
        <v>14</v>
      </c>
      <c r="G282" s="1">
        <v>63</v>
      </c>
      <c r="H282" s="1">
        <v>74</v>
      </c>
      <c r="I282" s="1">
        <v>75</v>
      </c>
    </row>
    <row r="283" spans="1:9" x14ac:dyDescent="0.25">
      <c r="A283" s="2" t="s">
        <v>1</v>
      </c>
      <c r="B283" s="1" t="s">
        <v>11</v>
      </c>
      <c r="C283" s="78" t="s">
        <v>52</v>
      </c>
      <c r="D283" s="78">
        <v>20</v>
      </c>
      <c r="E283" s="1" t="s">
        <v>7</v>
      </c>
      <c r="F283" s="1" t="s">
        <v>14</v>
      </c>
      <c r="G283" s="1">
        <v>64</v>
      </c>
      <c r="H283" s="1">
        <v>82</v>
      </c>
      <c r="I283" s="1">
        <v>80</v>
      </c>
    </row>
    <row r="284" spans="1:9" x14ac:dyDescent="0.25">
      <c r="A284" s="2" t="s">
        <v>1</v>
      </c>
      <c r="B284" s="1" t="s">
        <v>11</v>
      </c>
      <c r="C284" s="78" t="s">
        <v>52</v>
      </c>
      <c r="D284" s="78">
        <v>21</v>
      </c>
      <c r="E284" s="1" t="s">
        <v>7</v>
      </c>
      <c r="F284" s="1" t="s">
        <v>14</v>
      </c>
      <c r="G284" s="1">
        <v>67</v>
      </c>
      <c r="H284" s="1">
        <v>72</v>
      </c>
      <c r="I284" s="1">
        <v>72</v>
      </c>
    </row>
    <row r="285" spans="1:9" x14ac:dyDescent="0.25">
      <c r="A285" s="2" t="s">
        <v>1</v>
      </c>
      <c r="B285" s="1" t="s">
        <v>11</v>
      </c>
      <c r="C285" s="78" t="s">
        <v>52</v>
      </c>
      <c r="D285" s="78">
        <v>22</v>
      </c>
      <c r="E285" s="1" t="s">
        <v>7</v>
      </c>
      <c r="F285" s="1" t="s">
        <v>14</v>
      </c>
      <c r="G285" s="1">
        <v>58</v>
      </c>
      <c r="H285" s="1">
        <v>70</v>
      </c>
      <c r="I285" s="1">
        <v>72</v>
      </c>
    </row>
    <row r="286" spans="1:9" x14ac:dyDescent="0.25">
      <c r="A286" s="2" t="s">
        <v>1</v>
      </c>
      <c r="B286" s="1" t="s">
        <v>11</v>
      </c>
      <c r="C286" s="78" t="s">
        <v>52</v>
      </c>
      <c r="D286" s="78">
        <v>23</v>
      </c>
      <c r="E286" s="1" t="s">
        <v>7</v>
      </c>
      <c r="F286" s="1" t="s">
        <v>14</v>
      </c>
      <c r="G286" s="1">
        <v>61</v>
      </c>
      <c r="H286" s="1">
        <v>66</v>
      </c>
      <c r="I286" s="1">
        <v>71</v>
      </c>
    </row>
    <row r="287" spans="1:9" x14ac:dyDescent="0.25">
      <c r="A287" s="2" t="s">
        <v>1</v>
      </c>
      <c r="B287" s="1" t="s">
        <v>11</v>
      </c>
      <c r="C287" s="78" t="s">
        <v>52</v>
      </c>
      <c r="D287" s="78">
        <v>24</v>
      </c>
      <c r="E287" s="1" t="s">
        <v>7</v>
      </c>
      <c r="F287" s="1" t="s">
        <v>15</v>
      </c>
      <c r="G287" s="1">
        <v>57</v>
      </c>
      <c r="H287" s="1">
        <v>69</v>
      </c>
      <c r="I287" s="1">
        <v>77</v>
      </c>
    </row>
    <row r="288" spans="1:9" x14ac:dyDescent="0.25">
      <c r="A288" s="2" t="s">
        <v>1</v>
      </c>
      <c r="B288" s="1" t="s">
        <v>11</v>
      </c>
      <c r="C288" s="78" t="s">
        <v>52</v>
      </c>
      <c r="D288" s="78">
        <v>25</v>
      </c>
      <c r="E288" s="1" t="s">
        <v>7</v>
      </c>
      <c r="F288" s="1" t="s">
        <v>15</v>
      </c>
      <c r="G288" s="1">
        <v>74</v>
      </c>
      <c r="H288" s="1">
        <v>79</v>
      </c>
      <c r="I288" s="1">
        <v>84</v>
      </c>
    </row>
    <row r="289" spans="1:9" x14ac:dyDescent="0.25">
      <c r="A289" s="2" t="s">
        <v>1</v>
      </c>
      <c r="B289" s="1" t="s">
        <v>11</v>
      </c>
      <c r="C289" s="78" t="s">
        <v>52</v>
      </c>
      <c r="D289" s="78">
        <v>26</v>
      </c>
      <c r="E289" s="1" t="s">
        <v>7</v>
      </c>
      <c r="F289" s="1" t="s">
        <v>15</v>
      </c>
      <c r="G289" s="1">
        <v>92</v>
      </c>
      <c r="H289" s="1">
        <v>88</v>
      </c>
      <c r="I289" s="1">
        <v>94</v>
      </c>
    </row>
    <row r="290" spans="1:9" x14ac:dyDescent="0.25">
      <c r="A290" s="2" t="s">
        <v>1</v>
      </c>
      <c r="B290" s="1" t="s">
        <v>11</v>
      </c>
      <c r="C290" s="78" t="s">
        <v>52</v>
      </c>
      <c r="D290" s="78">
        <v>27</v>
      </c>
      <c r="E290" s="1" t="s">
        <v>73</v>
      </c>
      <c r="F290" s="1" t="s">
        <v>14</v>
      </c>
      <c r="G290" s="1">
        <v>69</v>
      </c>
      <c r="H290" s="1">
        <v>78</v>
      </c>
      <c r="I290" s="1">
        <v>78</v>
      </c>
    </row>
    <row r="291" spans="1:9" x14ac:dyDescent="0.25">
      <c r="A291" s="2" t="s">
        <v>1</v>
      </c>
      <c r="B291" s="1" t="s">
        <v>11</v>
      </c>
      <c r="C291" s="78" t="s">
        <v>52</v>
      </c>
      <c r="D291" s="78">
        <v>28</v>
      </c>
      <c r="E291" s="1" t="s">
        <v>73</v>
      </c>
      <c r="F291" s="1" t="s">
        <v>14</v>
      </c>
      <c r="G291" s="1">
        <v>55</v>
      </c>
      <c r="H291" s="1">
        <v>56</v>
      </c>
      <c r="I291" s="1">
        <v>54</v>
      </c>
    </row>
    <row r="292" spans="1:9" x14ac:dyDescent="0.25">
      <c r="A292" s="2" t="s">
        <v>1</v>
      </c>
      <c r="B292" s="1" t="s">
        <v>11</v>
      </c>
      <c r="C292" s="78" t="s">
        <v>52</v>
      </c>
      <c r="D292" s="78">
        <v>29</v>
      </c>
      <c r="E292" s="1" t="s">
        <v>73</v>
      </c>
      <c r="F292" s="1" t="s">
        <v>15</v>
      </c>
      <c r="G292" s="1">
        <v>62</v>
      </c>
      <c r="H292" s="1">
        <v>68</v>
      </c>
      <c r="I292" s="1">
        <v>74</v>
      </c>
    </row>
    <row r="293" spans="1:9" x14ac:dyDescent="0.25">
      <c r="A293" s="2" t="s">
        <v>1</v>
      </c>
      <c r="B293" s="1" t="s">
        <v>11</v>
      </c>
      <c r="C293" s="78" t="s">
        <v>52</v>
      </c>
      <c r="D293" s="78">
        <v>30</v>
      </c>
      <c r="E293" s="1" t="s">
        <v>73</v>
      </c>
      <c r="F293" s="1" t="s">
        <v>15</v>
      </c>
      <c r="G293" s="1">
        <v>54</v>
      </c>
      <c r="H293" s="1">
        <v>57</v>
      </c>
      <c r="I293" s="1">
        <v>63</v>
      </c>
    </row>
    <row r="294" spans="1:9" x14ac:dyDescent="0.25">
      <c r="A294" s="2" t="s">
        <v>1</v>
      </c>
      <c r="B294" s="1" t="s">
        <v>11</v>
      </c>
      <c r="C294" s="78" t="s">
        <v>52</v>
      </c>
      <c r="D294" s="78">
        <v>31</v>
      </c>
      <c r="E294" s="1" t="s">
        <v>73</v>
      </c>
      <c r="F294" s="1" t="s">
        <v>15</v>
      </c>
      <c r="G294" s="1">
        <v>68</v>
      </c>
      <c r="H294" s="1">
        <v>78</v>
      </c>
      <c r="I294" s="1">
        <v>83</v>
      </c>
    </row>
    <row r="295" spans="1:9" x14ac:dyDescent="0.25">
      <c r="A295" s="2" t="s">
        <v>1</v>
      </c>
      <c r="B295" s="1" t="s">
        <v>11</v>
      </c>
      <c r="C295" s="78" t="s">
        <v>52</v>
      </c>
      <c r="D295" s="78">
        <v>32</v>
      </c>
      <c r="E295" s="1" t="s">
        <v>73</v>
      </c>
      <c r="F295" s="1" t="s">
        <v>15</v>
      </c>
      <c r="G295" s="1">
        <v>44</v>
      </c>
      <c r="H295" s="1">
        <v>45</v>
      </c>
      <c r="I295" s="1">
        <v>52</v>
      </c>
    </row>
    <row r="296" spans="1:9" x14ac:dyDescent="0.25">
      <c r="A296" s="2" t="s">
        <v>1</v>
      </c>
      <c r="B296" s="1" t="s">
        <v>11</v>
      </c>
      <c r="C296" s="79" t="s">
        <v>59</v>
      </c>
      <c r="D296" s="79">
        <v>7</v>
      </c>
      <c r="E296" s="1" t="s">
        <v>7</v>
      </c>
      <c r="F296" s="1" t="s">
        <v>14</v>
      </c>
      <c r="G296" s="1">
        <v>67</v>
      </c>
      <c r="H296" s="1">
        <v>78</v>
      </c>
      <c r="I296" s="1">
        <v>80</v>
      </c>
    </row>
    <row r="297" spans="1:9" x14ac:dyDescent="0.25">
      <c r="A297" s="2" t="s">
        <v>1</v>
      </c>
      <c r="B297" s="1" t="s">
        <v>11</v>
      </c>
      <c r="C297" s="79" t="s">
        <v>59</v>
      </c>
      <c r="D297" s="79">
        <v>8</v>
      </c>
      <c r="E297" s="1" t="s">
        <v>7</v>
      </c>
      <c r="F297" s="1" t="s">
        <v>14</v>
      </c>
      <c r="G297" s="1">
        <v>75</v>
      </c>
      <c r="H297" s="1">
        <v>82</v>
      </c>
      <c r="I297" s="1">
        <v>81</v>
      </c>
    </row>
    <row r="298" spans="1:9" x14ac:dyDescent="0.25">
      <c r="A298" s="2" t="s">
        <v>1</v>
      </c>
      <c r="B298" s="1" t="s">
        <v>11</v>
      </c>
      <c r="C298" s="79" t="s">
        <v>59</v>
      </c>
      <c r="D298" s="79">
        <v>9</v>
      </c>
      <c r="E298" s="1" t="s">
        <v>7</v>
      </c>
      <c r="F298" s="1" t="s">
        <v>14</v>
      </c>
      <c r="G298" s="1">
        <v>70</v>
      </c>
      <c r="H298" s="1">
        <v>81</v>
      </c>
      <c r="I298" s="1">
        <v>75</v>
      </c>
    </row>
    <row r="299" spans="1:9" x14ac:dyDescent="0.25">
      <c r="A299" s="2" t="s">
        <v>1</v>
      </c>
      <c r="B299" s="1" t="s">
        <v>11</v>
      </c>
      <c r="C299" s="79" t="s">
        <v>59</v>
      </c>
      <c r="D299" s="79">
        <v>10</v>
      </c>
      <c r="E299" s="1" t="s">
        <v>7</v>
      </c>
      <c r="F299" s="1" t="s">
        <v>14</v>
      </c>
      <c r="G299" s="1">
        <v>59</v>
      </c>
      <c r="H299" s="1">
        <v>64</v>
      </c>
      <c r="I299" s="1">
        <v>64</v>
      </c>
    </row>
    <row r="300" spans="1:9" x14ac:dyDescent="0.25">
      <c r="A300" s="2" t="s">
        <v>1</v>
      </c>
      <c r="B300" s="1" t="s">
        <v>11</v>
      </c>
      <c r="C300" s="79" t="s">
        <v>59</v>
      </c>
      <c r="D300" s="79">
        <v>11</v>
      </c>
      <c r="E300" s="1" t="s">
        <v>7</v>
      </c>
      <c r="F300" s="1" t="s">
        <v>14</v>
      </c>
      <c r="G300" s="1">
        <v>69</v>
      </c>
      <c r="H300" s="1">
        <v>76</v>
      </c>
      <c r="I300" s="1">
        <v>71</v>
      </c>
    </row>
    <row r="301" spans="1:9" x14ac:dyDescent="0.25">
      <c r="A301" s="2" t="s">
        <v>1</v>
      </c>
      <c r="B301" s="1" t="s">
        <v>11</v>
      </c>
      <c r="C301" s="79" t="s">
        <v>59</v>
      </c>
      <c r="D301" s="79">
        <v>12</v>
      </c>
      <c r="E301" s="1" t="s">
        <v>7</v>
      </c>
      <c r="F301" s="1" t="s">
        <v>15</v>
      </c>
      <c r="G301" s="1">
        <v>50</v>
      </c>
      <c r="H301" s="1">
        <v>64</v>
      </c>
      <c r="I301" s="1">
        <v>63</v>
      </c>
    </row>
    <row r="302" spans="1:9" x14ac:dyDescent="0.25">
      <c r="A302" s="2" t="s">
        <v>1</v>
      </c>
      <c r="B302" s="1" t="s">
        <v>11</v>
      </c>
      <c r="C302" s="79" t="s">
        <v>59</v>
      </c>
      <c r="D302" s="79">
        <v>13</v>
      </c>
      <c r="E302" s="1" t="s">
        <v>7</v>
      </c>
      <c r="F302" s="1" t="s">
        <v>15</v>
      </c>
      <c r="G302" s="1">
        <v>66</v>
      </c>
      <c r="H302" s="1">
        <v>70</v>
      </c>
      <c r="I302" s="1">
        <v>83</v>
      </c>
    </row>
    <row r="303" spans="1:9" x14ac:dyDescent="0.25">
      <c r="A303" s="2" t="s">
        <v>1</v>
      </c>
      <c r="B303" s="1" t="s">
        <v>11</v>
      </c>
      <c r="C303" s="79" t="s">
        <v>59</v>
      </c>
      <c r="D303" s="79">
        <v>14</v>
      </c>
      <c r="E303" s="1" t="s">
        <v>7</v>
      </c>
      <c r="F303" s="1" t="s">
        <v>15</v>
      </c>
      <c r="G303" s="1">
        <v>65</v>
      </c>
      <c r="H303" s="1">
        <v>84</v>
      </c>
      <c r="I303" s="1">
        <v>86</v>
      </c>
    </row>
    <row r="304" spans="1:9" x14ac:dyDescent="0.25">
      <c r="A304" s="2" t="s">
        <v>1</v>
      </c>
      <c r="B304" s="1" t="s">
        <v>11</v>
      </c>
      <c r="C304" s="79" t="s">
        <v>59</v>
      </c>
      <c r="D304" s="79">
        <v>15</v>
      </c>
      <c r="E304" s="1" t="s">
        <v>7</v>
      </c>
      <c r="F304" s="1" t="s">
        <v>15</v>
      </c>
      <c r="G304" s="1">
        <v>62</v>
      </c>
      <c r="H304" s="1">
        <v>68</v>
      </c>
      <c r="I304" s="1">
        <v>75</v>
      </c>
    </row>
    <row r="305" spans="1:9" x14ac:dyDescent="0.25">
      <c r="A305" s="2" t="s">
        <v>1</v>
      </c>
      <c r="B305" s="1" t="s">
        <v>11</v>
      </c>
      <c r="C305" s="79" t="s">
        <v>59</v>
      </c>
      <c r="D305" s="79">
        <v>16</v>
      </c>
      <c r="E305" s="1" t="s">
        <v>7</v>
      </c>
      <c r="F305" s="1" t="s">
        <v>15</v>
      </c>
      <c r="G305" s="1">
        <v>79</v>
      </c>
      <c r="H305" s="1">
        <v>87</v>
      </c>
      <c r="I305" s="1">
        <v>89</v>
      </c>
    </row>
    <row r="306" spans="1:9" x14ac:dyDescent="0.25">
      <c r="A306" s="2" t="s">
        <v>1</v>
      </c>
      <c r="B306" s="1" t="s">
        <v>11</v>
      </c>
      <c r="C306" s="79" t="s">
        <v>59</v>
      </c>
      <c r="D306" s="79">
        <v>17</v>
      </c>
      <c r="E306" s="1" t="s">
        <v>7</v>
      </c>
      <c r="F306" s="1" t="s">
        <v>15</v>
      </c>
      <c r="G306" s="1">
        <v>83</v>
      </c>
      <c r="H306" s="1">
        <v>86</v>
      </c>
      <c r="I306" s="1">
        <v>90</v>
      </c>
    </row>
    <row r="307" spans="1:9" x14ac:dyDescent="0.25">
      <c r="A307" s="2" t="s">
        <v>1</v>
      </c>
      <c r="B307" s="1" t="s">
        <v>11</v>
      </c>
      <c r="C307" s="79" t="s">
        <v>59</v>
      </c>
      <c r="D307" s="79">
        <v>18</v>
      </c>
      <c r="E307" s="1" t="s">
        <v>7</v>
      </c>
      <c r="F307" s="1" t="s">
        <v>15</v>
      </c>
      <c r="G307" s="1">
        <v>79</v>
      </c>
      <c r="H307" s="1">
        <v>92</v>
      </c>
      <c r="I307" s="1">
        <v>87</v>
      </c>
    </row>
    <row r="308" spans="1:9" x14ac:dyDescent="0.25">
      <c r="A308" s="2" t="s">
        <v>1</v>
      </c>
      <c r="B308" s="1" t="s">
        <v>11</v>
      </c>
      <c r="C308" s="79" t="s">
        <v>59</v>
      </c>
      <c r="D308" s="79">
        <v>19</v>
      </c>
      <c r="E308" s="1" t="s">
        <v>73</v>
      </c>
      <c r="F308" s="1" t="s">
        <v>14</v>
      </c>
      <c r="G308" s="1">
        <v>43</v>
      </c>
      <c r="H308" s="1">
        <v>57</v>
      </c>
      <c r="I308" s="1">
        <v>59</v>
      </c>
    </row>
    <row r="309" spans="1:9" x14ac:dyDescent="0.25">
      <c r="A309" s="2" t="s">
        <v>1</v>
      </c>
      <c r="B309" s="1" t="s">
        <v>11</v>
      </c>
      <c r="C309" s="79" t="s">
        <v>59</v>
      </c>
      <c r="D309" s="79">
        <v>20</v>
      </c>
      <c r="E309" s="1" t="s">
        <v>73</v>
      </c>
      <c r="F309" s="1" t="s">
        <v>15</v>
      </c>
      <c r="G309" s="1">
        <v>71</v>
      </c>
      <c r="H309" s="1">
        <v>92</v>
      </c>
      <c r="I309" s="1">
        <v>93</v>
      </c>
    </row>
    <row r="310" spans="1:9" x14ac:dyDescent="0.25">
      <c r="A310" s="2" t="s">
        <v>1</v>
      </c>
      <c r="B310" s="1" t="s">
        <v>12</v>
      </c>
      <c r="C310" s="74" t="s">
        <v>53</v>
      </c>
      <c r="D310" s="74">
        <v>49</v>
      </c>
      <c r="E310" s="1" t="s">
        <v>7</v>
      </c>
      <c r="F310" s="1" t="s">
        <v>14</v>
      </c>
      <c r="G310" s="1">
        <v>74</v>
      </c>
      <c r="H310" s="1">
        <v>75</v>
      </c>
      <c r="I310" s="1">
        <v>74</v>
      </c>
    </row>
    <row r="311" spans="1:9" x14ac:dyDescent="0.25">
      <c r="A311" s="2" t="s">
        <v>1</v>
      </c>
      <c r="B311" s="1" t="s">
        <v>12</v>
      </c>
      <c r="C311" s="74" t="s">
        <v>53</v>
      </c>
      <c r="D311" s="74">
        <v>50</v>
      </c>
      <c r="E311" s="1" t="s">
        <v>7</v>
      </c>
      <c r="F311" s="1" t="s">
        <v>14</v>
      </c>
      <c r="G311" s="1">
        <v>74</v>
      </c>
      <c r="H311" s="1">
        <v>79</v>
      </c>
      <c r="I311" s="1">
        <v>79</v>
      </c>
    </row>
    <row r="312" spans="1:9" x14ac:dyDescent="0.25">
      <c r="A312" s="2" t="s">
        <v>1</v>
      </c>
      <c r="B312" s="1" t="s">
        <v>12</v>
      </c>
      <c r="C312" s="74" t="s">
        <v>53</v>
      </c>
      <c r="D312" s="74">
        <v>51</v>
      </c>
      <c r="E312" s="1" t="s">
        <v>7</v>
      </c>
      <c r="F312" s="1" t="s">
        <v>14</v>
      </c>
      <c r="G312" s="1">
        <v>82</v>
      </c>
      <c r="H312" s="1">
        <v>77</v>
      </c>
      <c r="I312" s="1">
        <v>80</v>
      </c>
    </row>
    <row r="313" spans="1:9" x14ac:dyDescent="0.25">
      <c r="A313" s="2" t="s">
        <v>1</v>
      </c>
      <c r="B313" s="1" t="s">
        <v>12</v>
      </c>
      <c r="C313" s="74" t="s">
        <v>53</v>
      </c>
      <c r="D313" s="74">
        <v>52</v>
      </c>
      <c r="E313" s="1" t="s">
        <v>7</v>
      </c>
      <c r="F313" s="1" t="s">
        <v>14</v>
      </c>
      <c r="G313" s="1">
        <v>52</v>
      </c>
      <c r="H313" s="1">
        <v>66</v>
      </c>
      <c r="I313" s="1">
        <v>63</v>
      </c>
    </row>
    <row r="314" spans="1:9" x14ac:dyDescent="0.25">
      <c r="A314" s="2" t="s">
        <v>1</v>
      </c>
      <c r="B314" s="1" t="s">
        <v>12</v>
      </c>
      <c r="C314" s="74" t="s">
        <v>53</v>
      </c>
      <c r="D314" s="74">
        <v>53</v>
      </c>
      <c r="E314" s="1" t="s">
        <v>7</v>
      </c>
      <c r="F314" s="1" t="s">
        <v>14</v>
      </c>
      <c r="G314" s="1">
        <v>25</v>
      </c>
      <c r="H314" s="1">
        <v>33</v>
      </c>
      <c r="I314" s="1">
        <v>32</v>
      </c>
    </row>
    <row r="315" spans="1:9" x14ac:dyDescent="0.25">
      <c r="A315" s="2" t="s">
        <v>1</v>
      </c>
      <c r="B315" s="1" t="s">
        <v>12</v>
      </c>
      <c r="C315" s="74" t="s">
        <v>53</v>
      </c>
      <c r="D315" s="74">
        <v>54</v>
      </c>
      <c r="E315" s="1" t="s">
        <v>7</v>
      </c>
      <c r="F315" s="1" t="s">
        <v>14</v>
      </c>
      <c r="G315" s="1">
        <v>83</v>
      </c>
      <c r="H315" s="1">
        <v>92</v>
      </c>
      <c r="I315" s="1">
        <v>93</v>
      </c>
    </row>
    <row r="316" spans="1:9" x14ac:dyDescent="0.25">
      <c r="A316" s="2" t="s">
        <v>1</v>
      </c>
      <c r="B316" s="1" t="s">
        <v>12</v>
      </c>
      <c r="C316" s="74" t="s">
        <v>53</v>
      </c>
      <c r="D316" s="74">
        <v>55</v>
      </c>
      <c r="E316" s="1" t="s">
        <v>7</v>
      </c>
      <c r="F316" s="1" t="s">
        <v>14</v>
      </c>
      <c r="G316" s="1">
        <v>62</v>
      </c>
      <c r="H316" s="1">
        <v>68</v>
      </c>
      <c r="I316" s="1">
        <v>65</v>
      </c>
    </row>
    <row r="317" spans="1:9" x14ac:dyDescent="0.25">
      <c r="A317" s="2" t="s">
        <v>1</v>
      </c>
      <c r="B317" s="1" t="s">
        <v>12</v>
      </c>
      <c r="C317" s="74" t="s">
        <v>53</v>
      </c>
      <c r="D317" s="74">
        <v>56</v>
      </c>
      <c r="E317" s="1" t="s">
        <v>7</v>
      </c>
      <c r="F317" s="1" t="s">
        <v>14</v>
      </c>
      <c r="G317" s="1">
        <v>53</v>
      </c>
      <c r="H317" s="1">
        <v>55</v>
      </c>
      <c r="I317" s="1">
        <v>57</v>
      </c>
    </row>
    <row r="318" spans="1:9" x14ac:dyDescent="0.25">
      <c r="A318" s="2" t="s">
        <v>1</v>
      </c>
      <c r="B318" s="1" t="s">
        <v>12</v>
      </c>
      <c r="C318" s="74" t="s">
        <v>53</v>
      </c>
      <c r="D318" s="74">
        <v>57</v>
      </c>
      <c r="E318" s="1" t="s">
        <v>7</v>
      </c>
      <c r="F318" s="1" t="s">
        <v>15</v>
      </c>
      <c r="G318" s="1">
        <v>48</v>
      </c>
      <c r="H318" s="1">
        <v>68</v>
      </c>
      <c r="I318" s="1">
        <v>68</v>
      </c>
    </row>
    <row r="319" spans="1:9" x14ac:dyDescent="0.25">
      <c r="A319" s="2" t="s">
        <v>1</v>
      </c>
      <c r="B319" s="1" t="s">
        <v>12</v>
      </c>
      <c r="C319" s="74" t="s">
        <v>53</v>
      </c>
      <c r="D319" s="74">
        <v>58</v>
      </c>
      <c r="E319" s="1" t="s">
        <v>7</v>
      </c>
      <c r="F319" s="1" t="s">
        <v>15</v>
      </c>
      <c r="G319" s="1">
        <v>83</v>
      </c>
      <c r="H319" s="1">
        <v>95</v>
      </c>
      <c r="I319" s="1">
        <v>97</v>
      </c>
    </row>
    <row r="320" spans="1:9" x14ac:dyDescent="0.25">
      <c r="A320" s="2" t="s">
        <v>1</v>
      </c>
      <c r="B320" s="1" t="s">
        <v>12</v>
      </c>
      <c r="C320" s="74" t="s">
        <v>53</v>
      </c>
      <c r="D320" s="74">
        <v>59</v>
      </c>
      <c r="E320" s="1" t="s">
        <v>7</v>
      </c>
      <c r="F320" s="1" t="s">
        <v>15</v>
      </c>
      <c r="G320" s="1">
        <v>94</v>
      </c>
      <c r="H320" s="1">
        <v>91</v>
      </c>
      <c r="I320" s="1">
        <v>98</v>
      </c>
    </row>
    <row r="321" spans="1:9" x14ac:dyDescent="0.25">
      <c r="A321" s="2" t="s">
        <v>1</v>
      </c>
      <c r="B321" s="1" t="s">
        <v>12</v>
      </c>
      <c r="C321" s="74" t="s">
        <v>53</v>
      </c>
      <c r="D321" s="74">
        <v>60</v>
      </c>
      <c r="E321" s="1" t="s">
        <v>7</v>
      </c>
      <c r="F321" s="1" t="s">
        <v>15</v>
      </c>
      <c r="G321" s="1">
        <v>54</v>
      </c>
      <c r="H321" s="1">
        <v>77</v>
      </c>
      <c r="I321" s="1">
        <v>78</v>
      </c>
    </row>
    <row r="322" spans="1:9" x14ac:dyDescent="0.25">
      <c r="A322" s="2" t="s">
        <v>1</v>
      </c>
      <c r="B322" s="1" t="s">
        <v>12</v>
      </c>
      <c r="C322" s="74" t="s">
        <v>53</v>
      </c>
      <c r="D322" s="74">
        <v>61</v>
      </c>
      <c r="E322" s="1" t="s">
        <v>7</v>
      </c>
      <c r="F322" s="1" t="s">
        <v>15</v>
      </c>
      <c r="G322" s="1">
        <v>69</v>
      </c>
      <c r="H322" s="1">
        <v>86</v>
      </c>
      <c r="I322" s="1">
        <v>87</v>
      </c>
    </row>
    <row r="323" spans="1:9" x14ac:dyDescent="0.25">
      <c r="A323" s="2" t="s">
        <v>1</v>
      </c>
      <c r="B323" s="1" t="s">
        <v>12</v>
      </c>
      <c r="C323" s="74" t="s">
        <v>53</v>
      </c>
      <c r="D323" s="74">
        <v>62</v>
      </c>
      <c r="E323" s="1" t="s">
        <v>7</v>
      </c>
      <c r="F323" s="1" t="s">
        <v>15</v>
      </c>
      <c r="G323" s="1">
        <v>77</v>
      </c>
      <c r="H323" s="1">
        <v>83</v>
      </c>
      <c r="I323" s="1">
        <v>84</v>
      </c>
    </row>
    <row r="324" spans="1:9" x14ac:dyDescent="0.25">
      <c r="A324" s="2" t="s">
        <v>1</v>
      </c>
      <c r="B324" s="1" t="s">
        <v>12</v>
      </c>
      <c r="C324" s="74" t="s">
        <v>53</v>
      </c>
      <c r="D324" s="74">
        <v>63</v>
      </c>
      <c r="E324" s="1" t="s">
        <v>73</v>
      </c>
      <c r="F324" s="1" t="s">
        <v>14</v>
      </c>
      <c r="G324" s="1">
        <v>60</v>
      </c>
      <c r="H324" s="1">
        <v>69</v>
      </c>
      <c r="I324" s="1">
        <v>70</v>
      </c>
    </row>
    <row r="325" spans="1:9" x14ac:dyDescent="0.25">
      <c r="A325" s="2" t="s">
        <v>1</v>
      </c>
      <c r="B325" s="1" t="s">
        <v>12</v>
      </c>
      <c r="C325" s="74" t="s">
        <v>53</v>
      </c>
      <c r="D325" s="74">
        <v>64</v>
      </c>
      <c r="E325" s="1" t="s">
        <v>73</v>
      </c>
      <c r="F325" s="1" t="s">
        <v>14</v>
      </c>
      <c r="G325" s="1">
        <v>58</v>
      </c>
      <c r="H325" s="1">
        <v>63</v>
      </c>
      <c r="I325" s="1">
        <v>65</v>
      </c>
    </row>
    <row r="326" spans="1:9" x14ac:dyDescent="0.25">
      <c r="A326" s="2" t="s">
        <v>1</v>
      </c>
      <c r="B326" s="1" t="s">
        <v>12</v>
      </c>
      <c r="C326" s="74" t="s">
        <v>53</v>
      </c>
      <c r="D326" s="74">
        <v>65</v>
      </c>
      <c r="E326" s="1" t="s">
        <v>73</v>
      </c>
      <c r="F326" s="1" t="s">
        <v>14</v>
      </c>
      <c r="G326" s="1">
        <v>30</v>
      </c>
      <c r="H326" s="1">
        <v>59</v>
      </c>
      <c r="I326" s="1">
        <v>51</v>
      </c>
    </row>
    <row r="327" spans="1:9" x14ac:dyDescent="0.25">
      <c r="A327" s="2" t="s">
        <v>1</v>
      </c>
      <c r="B327" s="1" t="s">
        <v>12</v>
      </c>
      <c r="C327" s="74" t="s">
        <v>53</v>
      </c>
      <c r="D327" s="74">
        <v>66</v>
      </c>
      <c r="E327" s="1" t="s">
        <v>73</v>
      </c>
      <c r="F327" s="1" t="s">
        <v>15</v>
      </c>
      <c r="G327" s="1">
        <v>41</v>
      </c>
      <c r="H327" s="1">
        <v>58</v>
      </c>
      <c r="I327" s="1">
        <v>59</v>
      </c>
    </row>
    <row r="328" spans="1:9" x14ac:dyDescent="0.25">
      <c r="A328" s="2" t="s">
        <v>1</v>
      </c>
      <c r="B328" s="1" t="s">
        <v>12</v>
      </c>
      <c r="C328" s="74" t="s">
        <v>53</v>
      </c>
      <c r="D328" s="74">
        <v>67</v>
      </c>
      <c r="E328" s="1" t="s">
        <v>73</v>
      </c>
      <c r="F328" s="1" t="s">
        <v>15</v>
      </c>
      <c r="G328" s="1">
        <v>64</v>
      </c>
      <c r="H328" s="1">
        <v>84</v>
      </c>
      <c r="I328" s="1">
        <v>83</v>
      </c>
    </row>
    <row r="329" spans="1:9" x14ac:dyDescent="0.25">
      <c r="A329" s="2" t="s">
        <v>1</v>
      </c>
      <c r="B329" s="1" t="s">
        <v>12</v>
      </c>
      <c r="C329" s="74" t="s">
        <v>53</v>
      </c>
      <c r="D329" s="74">
        <v>68</v>
      </c>
      <c r="E329" s="1" t="s">
        <v>73</v>
      </c>
      <c r="F329" s="1" t="s">
        <v>15</v>
      </c>
      <c r="G329" s="1">
        <v>49</v>
      </c>
      <c r="H329" s="1">
        <v>69</v>
      </c>
      <c r="I329" s="1">
        <v>68</v>
      </c>
    </row>
    <row r="330" spans="1:9" x14ac:dyDescent="0.25">
      <c r="A330" s="2" t="s">
        <v>1</v>
      </c>
      <c r="B330" s="1" t="s">
        <v>12</v>
      </c>
      <c r="C330" s="74" t="s">
        <v>53</v>
      </c>
      <c r="D330" s="74">
        <v>69</v>
      </c>
      <c r="E330" s="1" t="s">
        <v>73</v>
      </c>
      <c r="F330" s="1" t="s">
        <v>15</v>
      </c>
      <c r="G330" s="1">
        <v>64</v>
      </c>
      <c r="H330" s="1">
        <v>75</v>
      </c>
      <c r="I330" s="1">
        <v>81</v>
      </c>
    </row>
    <row r="331" spans="1:9" x14ac:dyDescent="0.25">
      <c r="A331" s="2" t="s">
        <v>1</v>
      </c>
      <c r="B331" s="1" t="s">
        <v>12</v>
      </c>
      <c r="C331" s="74" t="s">
        <v>53</v>
      </c>
      <c r="D331" s="74">
        <v>70</v>
      </c>
      <c r="E331" s="1" t="s">
        <v>73</v>
      </c>
      <c r="F331" s="1" t="s">
        <v>15</v>
      </c>
      <c r="G331" s="1">
        <v>62</v>
      </c>
      <c r="H331" s="1">
        <v>75</v>
      </c>
      <c r="I331" s="1">
        <v>79</v>
      </c>
    </row>
    <row r="332" spans="1:9" x14ac:dyDescent="0.25">
      <c r="A332" s="2" t="s">
        <v>1</v>
      </c>
      <c r="B332" s="1" t="s">
        <v>12</v>
      </c>
      <c r="C332" s="75" t="s">
        <v>6</v>
      </c>
      <c r="D332" s="75">
        <v>76</v>
      </c>
      <c r="E332" s="1" t="s">
        <v>7</v>
      </c>
      <c r="F332" s="1" t="s">
        <v>14</v>
      </c>
      <c r="G332" s="1">
        <v>59</v>
      </c>
      <c r="H332" s="1">
        <v>69</v>
      </c>
      <c r="I332" s="1">
        <v>64</v>
      </c>
    </row>
    <row r="333" spans="1:9" x14ac:dyDescent="0.25">
      <c r="A333" s="2" t="s">
        <v>1</v>
      </c>
      <c r="B333" s="1" t="s">
        <v>12</v>
      </c>
      <c r="C333" s="75" t="s">
        <v>6</v>
      </c>
      <c r="D333" s="75">
        <v>77</v>
      </c>
      <c r="E333" s="1" t="s">
        <v>7</v>
      </c>
      <c r="F333" s="1" t="s">
        <v>14</v>
      </c>
      <c r="G333" s="1">
        <v>58</v>
      </c>
      <c r="H333" s="1">
        <v>66</v>
      </c>
      <c r="I333" s="1">
        <v>70</v>
      </c>
    </row>
    <row r="334" spans="1:9" x14ac:dyDescent="0.25">
      <c r="A334" s="2" t="s">
        <v>1</v>
      </c>
      <c r="B334" s="1" t="s">
        <v>12</v>
      </c>
      <c r="C334" s="75" t="s">
        <v>6</v>
      </c>
      <c r="D334" s="75">
        <v>78</v>
      </c>
      <c r="E334" s="1" t="s">
        <v>7</v>
      </c>
      <c r="F334" s="1" t="s">
        <v>14</v>
      </c>
      <c r="G334" s="1">
        <v>77</v>
      </c>
      <c r="H334" s="1">
        <v>90</v>
      </c>
      <c r="I334" s="1">
        <v>82</v>
      </c>
    </row>
    <row r="335" spans="1:9" x14ac:dyDescent="0.25">
      <c r="A335" s="2" t="s">
        <v>1</v>
      </c>
      <c r="B335" s="1" t="s">
        <v>12</v>
      </c>
      <c r="C335" s="75" t="s">
        <v>6</v>
      </c>
      <c r="D335" s="75">
        <v>79</v>
      </c>
      <c r="E335" s="1" t="s">
        <v>7</v>
      </c>
      <c r="F335" s="1" t="s">
        <v>14</v>
      </c>
      <c r="G335" s="1">
        <v>44</v>
      </c>
      <c r="H335" s="1">
        <v>47</v>
      </c>
      <c r="I335" s="1">
        <v>55</v>
      </c>
    </row>
    <row r="336" spans="1:9" x14ac:dyDescent="0.25">
      <c r="A336" s="2" t="s">
        <v>1</v>
      </c>
      <c r="B336" s="1" t="s">
        <v>12</v>
      </c>
      <c r="C336" s="75" t="s">
        <v>6</v>
      </c>
      <c r="D336" s="75">
        <v>80</v>
      </c>
      <c r="E336" s="1" t="s">
        <v>7</v>
      </c>
      <c r="F336" s="1" t="s">
        <v>14</v>
      </c>
      <c r="G336" s="1">
        <v>53</v>
      </c>
      <c r="H336" s="1">
        <v>66</v>
      </c>
      <c r="I336" s="1">
        <v>64</v>
      </c>
    </row>
    <row r="337" spans="1:9" x14ac:dyDescent="0.25">
      <c r="A337" s="2" t="s">
        <v>1</v>
      </c>
      <c r="B337" s="1" t="s">
        <v>12</v>
      </c>
      <c r="C337" s="75" t="s">
        <v>6</v>
      </c>
      <c r="D337" s="75">
        <v>81</v>
      </c>
      <c r="E337" s="1" t="s">
        <v>7</v>
      </c>
      <c r="F337" s="1" t="s">
        <v>14</v>
      </c>
      <c r="G337" s="1">
        <v>54</v>
      </c>
      <c r="H337" s="1">
        <v>62</v>
      </c>
      <c r="I337" s="1">
        <v>62</v>
      </c>
    </row>
    <row r="338" spans="1:9" x14ac:dyDescent="0.25">
      <c r="A338" s="2" t="s">
        <v>1</v>
      </c>
      <c r="B338" s="1" t="s">
        <v>12</v>
      </c>
      <c r="C338" s="75" t="s">
        <v>6</v>
      </c>
      <c r="D338" s="75">
        <v>82</v>
      </c>
      <c r="E338" s="1" t="s">
        <v>7</v>
      </c>
      <c r="F338" s="1" t="s">
        <v>14</v>
      </c>
      <c r="G338" s="1">
        <v>74</v>
      </c>
      <c r="H338" s="1">
        <v>82</v>
      </c>
      <c r="I338" s="1">
        <v>81</v>
      </c>
    </row>
    <row r="339" spans="1:9" x14ac:dyDescent="0.25">
      <c r="A339" s="2" t="s">
        <v>1</v>
      </c>
      <c r="B339" s="1" t="s">
        <v>12</v>
      </c>
      <c r="C339" s="75" t="s">
        <v>6</v>
      </c>
      <c r="D339" s="75">
        <v>83</v>
      </c>
      <c r="E339" s="1" t="s">
        <v>7</v>
      </c>
      <c r="F339" s="1" t="s">
        <v>15</v>
      </c>
      <c r="G339" s="1">
        <v>92</v>
      </c>
      <c r="H339" s="1">
        <v>95</v>
      </c>
      <c r="I339" s="1">
        <v>93</v>
      </c>
    </row>
    <row r="340" spans="1:9" x14ac:dyDescent="0.25">
      <c r="A340" s="2" t="s">
        <v>1</v>
      </c>
      <c r="B340" s="1" t="s">
        <v>12</v>
      </c>
      <c r="C340" s="75" t="s">
        <v>6</v>
      </c>
      <c r="D340" s="75">
        <v>84</v>
      </c>
      <c r="E340" s="1" t="s">
        <v>7</v>
      </c>
      <c r="F340" s="1" t="s">
        <v>15</v>
      </c>
      <c r="G340" s="1">
        <v>91</v>
      </c>
      <c r="H340" s="1">
        <v>100</v>
      </c>
      <c r="I340" s="1">
        <v>100</v>
      </c>
    </row>
    <row r="341" spans="1:9" x14ac:dyDescent="0.25">
      <c r="A341" s="2" t="s">
        <v>1</v>
      </c>
      <c r="B341" s="1" t="s">
        <v>12</v>
      </c>
      <c r="C341" s="75" t="s">
        <v>6</v>
      </c>
      <c r="D341" s="75">
        <v>85</v>
      </c>
      <c r="E341" s="1" t="s">
        <v>7</v>
      </c>
      <c r="F341" s="1" t="s">
        <v>15</v>
      </c>
      <c r="G341" s="1">
        <v>63</v>
      </c>
      <c r="H341" s="1">
        <v>78</v>
      </c>
      <c r="I341" s="1">
        <v>74</v>
      </c>
    </row>
    <row r="342" spans="1:9" x14ac:dyDescent="0.25">
      <c r="A342" s="2" t="s">
        <v>1</v>
      </c>
      <c r="B342" s="1" t="s">
        <v>12</v>
      </c>
      <c r="C342" s="75" t="s">
        <v>6</v>
      </c>
      <c r="D342" s="75">
        <v>86</v>
      </c>
      <c r="E342" s="1" t="s">
        <v>7</v>
      </c>
      <c r="F342" s="1" t="s">
        <v>15</v>
      </c>
      <c r="G342" s="1">
        <v>50</v>
      </c>
      <c r="H342" s="1">
        <v>72</v>
      </c>
      <c r="I342" s="1">
        <v>70</v>
      </c>
    </row>
    <row r="343" spans="1:9" x14ac:dyDescent="0.25">
      <c r="A343" s="2" t="s">
        <v>1</v>
      </c>
      <c r="B343" s="1" t="s">
        <v>12</v>
      </c>
      <c r="C343" s="75" t="s">
        <v>6</v>
      </c>
      <c r="D343" s="75">
        <v>87</v>
      </c>
      <c r="E343" s="1" t="s">
        <v>7</v>
      </c>
      <c r="F343" s="1" t="s">
        <v>15</v>
      </c>
      <c r="G343" s="1">
        <v>85</v>
      </c>
      <c r="H343" s="1">
        <v>98</v>
      </c>
      <c r="I343" s="1">
        <v>99</v>
      </c>
    </row>
    <row r="344" spans="1:9" x14ac:dyDescent="0.25">
      <c r="A344" s="2" t="s">
        <v>1</v>
      </c>
      <c r="B344" s="1" t="s">
        <v>12</v>
      </c>
      <c r="C344" s="75" t="s">
        <v>6</v>
      </c>
      <c r="D344" s="75">
        <v>88</v>
      </c>
      <c r="E344" s="1" t="s">
        <v>7</v>
      </c>
      <c r="F344" s="1" t="s">
        <v>15</v>
      </c>
      <c r="G344" s="1">
        <v>75</v>
      </c>
      <c r="H344" s="1">
        <v>74</v>
      </c>
      <c r="I344" s="1">
        <v>75</v>
      </c>
    </row>
    <row r="345" spans="1:9" x14ac:dyDescent="0.25">
      <c r="A345" s="2" t="s">
        <v>1</v>
      </c>
      <c r="B345" s="1" t="s">
        <v>12</v>
      </c>
      <c r="C345" s="75" t="s">
        <v>6</v>
      </c>
      <c r="D345" s="75">
        <v>89</v>
      </c>
      <c r="E345" s="1" t="s">
        <v>73</v>
      </c>
      <c r="F345" s="1" t="s">
        <v>14</v>
      </c>
      <c r="G345" s="1">
        <v>47</v>
      </c>
      <c r="H345" s="1">
        <v>66</v>
      </c>
      <c r="I345" s="1">
        <v>66</v>
      </c>
    </row>
    <row r="346" spans="1:9" x14ac:dyDescent="0.25">
      <c r="A346" s="2" t="s">
        <v>1</v>
      </c>
      <c r="B346" s="1" t="s">
        <v>12</v>
      </c>
      <c r="C346" s="75" t="s">
        <v>6</v>
      </c>
      <c r="D346" s="75">
        <v>90</v>
      </c>
      <c r="E346" s="1" t="s">
        <v>73</v>
      </c>
      <c r="F346" s="1" t="s">
        <v>14</v>
      </c>
      <c r="G346" s="1">
        <v>42</v>
      </c>
      <c r="H346" s="1">
        <v>61</v>
      </c>
      <c r="I346" s="1">
        <v>63</v>
      </c>
    </row>
    <row r="347" spans="1:9" x14ac:dyDescent="0.25">
      <c r="A347" s="2" t="s">
        <v>1</v>
      </c>
      <c r="B347" s="1" t="s">
        <v>12</v>
      </c>
      <c r="C347" s="75" t="s">
        <v>6</v>
      </c>
      <c r="D347" s="75">
        <v>91</v>
      </c>
      <c r="E347" s="1" t="s">
        <v>73</v>
      </c>
      <c r="F347" s="1" t="s">
        <v>14</v>
      </c>
      <c r="G347" s="1">
        <v>54</v>
      </c>
      <c r="H347" s="1">
        <v>58</v>
      </c>
      <c r="I347" s="1">
        <v>63</v>
      </c>
    </row>
    <row r="348" spans="1:9" x14ac:dyDescent="0.25">
      <c r="A348" s="2" t="s">
        <v>1</v>
      </c>
      <c r="B348" s="1" t="s">
        <v>12</v>
      </c>
      <c r="C348" s="75" t="s">
        <v>6</v>
      </c>
      <c r="D348" s="75">
        <v>92</v>
      </c>
      <c r="E348" s="1" t="s">
        <v>73</v>
      </c>
      <c r="F348" s="1" t="s">
        <v>14</v>
      </c>
      <c r="G348" s="1">
        <v>75</v>
      </c>
      <c r="H348" s="1">
        <v>81</v>
      </c>
      <c r="I348" s="1">
        <v>87</v>
      </c>
    </row>
    <row r="349" spans="1:9" x14ac:dyDescent="0.25">
      <c r="A349" s="2" t="s">
        <v>1</v>
      </c>
      <c r="B349" s="1" t="s">
        <v>12</v>
      </c>
      <c r="C349" s="75" t="s">
        <v>6</v>
      </c>
      <c r="D349" s="75">
        <v>93</v>
      </c>
      <c r="E349" s="1" t="s">
        <v>73</v>
      </c>
      <c r="F349" s="1" t="s">
        <v>14</v>
      </c>
      <c r="G349" s="1">
        <v>15</v>
      </c>
      <c r="H349" s="1">
        <v>39</v>
      </c>
      <c r="I349" s="1">
        <v>40</v>
      </c>
    </row>
    <row r="350" spans="1:9" x14ac:dyDescent="0.25">
      <c r="A350" s="2" t="s">
        <v>1</v>
      </c>
      <c r="B350" s="1" t="s">
        <v>12</v>
      </c>
      <c r="C350" s="75" t="s">
        <v>6</v>
      </c>
      <c r="D350" s="75">
        <v>94</v>
      </c>
      <c r="E350" s="1" t="s">
        <v>73</v>
      </c>
      <c r="F350" s="1" t="s">
        <v>14</v>
      </c>
      <c r="G350" s="1">
        <v>68</v>
      </c>
      <c r="H350" s="1">
        <v>73</v>
      </c>
      <c r="I350" s="1">
        <v>71</v>
      </c>
    </row>
    <row r="351" spans="1:9" x14ac:dyDescent="0.25">
      <c r="A351" s="2" t="s">
        <v>1</v>
      </c>
      <c r="B351" s="1" t="s">
        <v>12</v>
      </c>
      <c r="C351" s="75" t="s">
        <v>6</v>
      </c>
      <c r="D351" s="75">
        <v>95</v>
      </c>
      <c r="E351" s="1" t="s">
        <v>73</v>
      </c>
      <c r="F351" s="1" t="s">
        <v>15</v>
      </c>
      <c r="G351" s="1">
        <v>72</v>
      </c>
      <c r="H351" s="1">
        <v>76</v>
      </c>
      <c r="I351" s="1">
        <v>78</v>
      </c>
    </row>
    <row r="352" spans="1:9" x14ac:dyDescent="0.25">
      <c r="A352" s="2" t="s">
        <v>1</v>
      </c>
      <c r="B352" s="1" t="s">
        <v>12</v>
      </c>
      <c r="C352" s="75" t="s">
        <v>6</v>
      </c>
      <c r="D352" s="75">
        <v>96</v>
      </c>
      <c r="E352" s="1" t="s">
        <v>73</v>
      </c>
      <c r="F352" s="1" t="s">
        <v>15</v>
      </c>
      <c r="G352" s="1">
        <v>67</v>
      </c>
      <c r="H352" s="1">
        <v>75</v>
      </c>
      <c r="I352" s="1">
        <v>84</v>
      </c>
    </row>
    <row r="353" spans="1:9" x14ac:dyDescent="0.25">
      <c r="A353" s="2" t="s">
        <v>1</v>
      </c>
      <c r="B353" s="1" t="s">
        <v>12</v>
      </c>
      <c r="C353" s="75" t="s">
        <v>6</v>
      </c>
      <c r="D353" s="75">
        <v>97</v>
      </c>
      <c r="E353" s="1" t="s">
        <v>73</v>
      </c>
      <c r="F353" s="1" t="s">
        <v>15</v>
      </c>
      <c r="G353" s="1">
        <v>78</v>
      </c>
      <c r="H353" s="1">
        <v>86</v>
      </c>
      <c r="I353" s="1">
        <v>88</v>
      </c>
    </row>
    <row r="354" spans="1:9" x14ac:dyDescent="0.25">
      <c r="A354" s="2" t="s">
        <v>1</v>
      </c>
      <c r="B354" s="1" t="s">
        <v>12</v>
      </c>
      <c r="C354" s="75" t="s">
        <v>6</v>
      </c>
      <c r="D354" s="75">
        <v>98</v>
      </c>
      <c r="E354" s="1" t="s">
        <v>73</v>
      </c>
      <c r="F354" s="1" t="s">
        <v>15</v>
      </c>
      <c r="G354" s="1">
        <v>39</v>
      </c>
      <c r="H354" s="1">
        <v>52</v>
      </c>
      <c r="I354" s="1">
        <v>58</v>
      </c>
    </row>
    <row r="355" spans="1:9" x14ac:dyDescent="0.25">
      <c r="A355" s="2" t="s">
        <v>1</v>
      </c>
      <c r="B355" s="1" t="s">
        <v>12</v>
      </c>
      <c r="C355" s="76" t="s">
        <v>54</v>
      </c>
      <c r="D355" s="76">
        <v>66</v>
      </c>
      <c r="E355" s="1" t="s">
        <v>7</v>
      </c>
      <c r="F355" s="1" t="s">
        <v>14</v>
      </c>
      <c r="G355" s="1">
        <v>83</v>
      </c>
      <c r="H355" s="1">
        <v>85</v>
      </c>
      <c r="I355" s="1">
        <v>86</v>
      </c>
    </row>
    <row r="356" spans="1:9" x14ac:dyDescent="0.25">
      <c r="A356" s="2" t="s">
        <v>1</v>
      </c>
      <c r="B356" s="1" t="s">
        <v>12</v>
      </c>
      <c r="C356" s="76" t="s">
        <v>54</v>
      </c>
      <c r="D356" s="76">
        <v>67</v>
      </c>
      <c r="E356" s="1" t="s">
        <v>7</v>
      </c>
      <c r="F356" s="1" t="s">
        <v>14</v>
      </c>
      <c r="G356" s="1">
        <v>61</v>
      </c>
      <c r="H356" s="1">
        <v>56</v>
      </c>
      <c r="I356" s="1">
        <v>60</v>
      </c>
    </row>
    <row r="357" spans="1:9" x14ac:dyDescent="0.25">
      <c r="A357" s="2" t="s">
        <v>1</v>
      </c>
      <c r="B357" s="1" t="s">
        <v>12</v>
      </c>
      <c r="C357" s="76" t="s">
        <v>54</v>
      </c>
      <c r="D357" s="76">
        <v>68</v>
      </c>
      <c r="E357" s="1" t="s">
        <v>7</v>
      </c>
      <c r="F357" s="1" t="s">
        <v>14</v>
      </c>
      <c r="G357" s="1">
        <v>70</v>
      </c>
      <c r="H357" s="1">
        <v>79</v>
      </c>
      <c r="I357" s="1">
        <v>76</v>
      </c>
    </row>
    <row r="358" spans="1:9" x14ac:dyDescent="0.25">
      <c r="A358" s="2" t="s">
        <v>1</v>
      </c>
      <c r="B358" s="1" t="s">
        <v>12</v>
      </c>
      <c r="C358" s="76" t="s">
        <v>54</v>
      </c>
      <c r="D358" s="76">
        <v>69</v>
      </c>
      <c r="E358" s="1" t="s">
        <v>7</v>
      </c>
      <c r="F358" s="1" t="s">
        <v>14</v>
      </c>
      <c r="G358" s="1">
        <v>42</v>
      </c>
      <c r="H358" s="1">
        <v>48</v>
      </c>
      <c r="I358" s="1">
        <v>42</v>
      </c>
    </row>
    <row r="359" spans="1:9" x14ac:dyDescent="0.25">
      <c r="A359" s="2" t="s">
        <v>1</v>
      </c>
      <c r="B359" s="1" t="s">
        <v>12</v>
      </c>
      <c r="C359" s="76" t="s">
        <v>54</v>
      </c>
      <c r="D359" s="76">
        <v>70</v>
      </c>
      <c r="E359" s="1" t="s">
        <v>7</v>
      </c>
      <c r="F359" s="1" t="s">
        <v>14</v>
      </c>
      <c r="G359" s="1">
        <v>40</v>
      </c>
      <c r="H359" s="1">
        <v>51</v>
      </c>
      <c r="I359" s="1">
        <v>51</v>
      </c>
    </row>
    <row r="360" spans="1:9" x14ac:dyDescent="0.25">
      <c r="A360" s="2" t="s">
        <v>1</v>
      </c>
      <c r="B360" s="1" t="s">
        <v>12</v>
      </c>
      <c r="C360" s="76" t="s">
        <v>54</v>
      </c>
      <c r="D360" s="76">
        <v>71</v>
      </c>
      <c r="E360" s="1" t="s">
        <v>7</v>
      </c>
      <c r="F360" s="1" t="s">
        <v>14</v>
      </c>
      <c r="G360" s="1">
        <v>84</v>
      </c>
      <c r="H360" s="1">
        <v>90</v>
      </c>
      <c r="I360" s="1">
        <v>90</v>
      </c>
    </row>
    <row r="361" spans="1:9" x14ac:dyDescent="0.25">
      <c r="A361" s="2" t="s">
        <v>1</v>
      </c>
      <c r="B361" s="1" t="s">
        <v>12</v>
      </c>
      <c r="C361" s="76" t="s">
        <v>54</v>
      </c>
      <c r="D361" s="76">
        <v>72</v>
      </c>
      <c r="E361" s="1" t="s">
        <v>7</v>
      </c>
      <c r="F361" s="1" t="s">
        <v>14</v>
      </c>
      <c r="G361" s="1">
        <v>61</v>
      </c>
      <c r="H361" s="1">
        <v>70</v>
      </c>
      <c r="I361" s="1">
        <v>73</v>
      </c>
    </row>
    <row r="362" spans="1:9" x14ac:dyDescent="0.25">
      <c r="A362" s="2" t="s">
        <v>1</v>
      </c>
      <c r="B362" s="1" t="s">
        <v>12</v>
      </c>
      <c r="C362" s="76" t="s">
        <v>54</v>
      </c>
      <c r="D362" s="76">
        <v>73</v>
      </c>
      <c r="E362" s="1" t="s">
        <v>7</v>
      </c>
      <c r="F362" s="1" t="s">
        <v>14</v>
      </c>
      <c r="G362" s="1">
        <v>75</v>
      </c>
      <c r="H362" s="1">
        <v>87</v>
      </c>
      <c r="I362" s="1">
        <v>90</v>
      </c>
    </row>
    <row r="363" spans="1:9" x14ac:dyDescent="0.25">
      <c r="A363" s="2" t="s">
        <v>1</v>
      </c>
      <c r="B363" s="1" t="s">
        <v>12</v>
      </c>
      <c r="C363" s="76" t="s">
        <v>54</v>
      </c>
      <c r="D363" s="76">
        <v>74</v>
      </c>
      <c r="E363" s="1" t="s">
        <v>7</v>
      </c>
      <c r="F363" s="1" t="s">
        <v>14</v>
      </c>
      <c r="G363" s="1">
        <v>66</v>
      </c>
      <c r="H363" s="1">
        <v>72</v>
      </c>
      <c r="I363" s="1">
        <v>74</v>
      </c>
    </row>
    <row r="364" spans="1:9" x14ac:dyDescent="0.25">
      <c r="A364" s="2" t="s">
        <v>1</v>
      </c>
      <c r="B364" s="1" t="s">
        <v>12</v>
      </c>
      <c r="C364" s="76" t="s">
        <v>54</v>
      </c>
      <c r="D364" s="76">
        <v>75</v>
      </c>
      <c r="E364" s="1" t="s">
        <v>7</v>
      </c>
      <c r="F364" s="1" t="s">
        <v>14</v>
      </c>
      <c r="G364" s="1">
        <v>67</v>
      </c>
      <c r="H364" s="1">
        <v>67</v>
      </c>
      <c r="I364" s="1">
        <v>67</v>
      </c>
    </row>
    <row r="365" spans="1:9" x14ac:dyDescent="0.25">
      <c r="A365" s="2" t="s">
        <v>1</v>
      </c>
      <c r="B365" s="1" t="s">
        <v>12</v>
      </c>
      <c r="C365" s="76" t="s">
        <v>54</v>
      </c>
      <c r="D365" s="76">
        <v>76</v>
      </c>
      <c r="E365" s="1" t="s">
        <v>7</v>
      </c>
      <c r="F365" s="1" t="s">
        <v>14</v>
      </c>
      <c r="G365" s="1">
        <v>63</v>
      </c>
      <c r="H365" s="1">
        <v>69</v>
      </c>
      <c r="I365" s="1">
        <v>66</v>
      </c>
    </row>
    <row r="366" spans="1:9" x14ac:dyDescent="0.25">
      <c r="A366" s="2" t="s">
        <v>1</v>
      </c>
      <c r="B366" s="1" t="s">
        <v>12</v>
      </c>
      <c r="C366" s="76" t="s">
        <v>54</v>
      </c>
      <c r="D366" s="76">
        <v>77</v>
      </c>
      <c r="E366" s="1" t="s">
        <v>7</v>
      </c>
      <c r="F366" s="1" t="s">
        <v>14</v>
      </c>
      <c r="G366" s="1">
        <v>84</v>
      </c>
      <c r="H366" s="1">
        <v>92</v>
      </c>
      <c r="I366" s="1">
        <v>90</v>
      </c>
    </row>
    <row r="367" spans="1:9" x14ac:dyDescent="0.25">
      <c r="A367" s="2" t="s">
        <v>1</v>
      </c>
      <c r="B367" s="1" t="s">
        <v>12</v>
      </c>
      <c r="C367" s="76" t="s">
        <v>54</v>
      </c>
      <c r="D367" s="76">
        <v>78</v>
      </c>
      <c r="E367" s="1" t="s">
        <v>7</v>
      </c>
      <c r="F367" s="1" t="s">
        <v>15</v>
      </c>
      <c r="G367" s="1">
        <v>65</v>
      </c>
      <c r="H367" s="1">
        <v>71</v>
      </c>
      <c r="I367" s="1">
        <v>74</v>
      </c>
    </row>
    <row r="368" spans="1:9" x14ac:dyDescent="0.25">
      <c r="A368" s="2" t="s">
        <v>1</v>
      </c>
      <c r="B368" s="1" t="s">
        <v>12</v>
      </c>
      <c r="C368" s="76" t="s">
        <v>54</v>
      </c>
      <c r="D368" s="76">
        <v>79</v>
      </c>
      <c r="E368" s="1" t="s">
        <v>7</v>
      </c>
      <c r="F368" s="1" t="s">
        <v>15</v>
      </c>
      <c r="G368" s="1">
        <v>67</v>
      </c>
      <c r="H368" s="1">
        <v>71</v>
      </c>
      <c r="I368" s="1">
        <v>76</v>
      </c>
    </row>
    <row r="369" spans="1:9" x14ac:dyDescent="0.25">
      <c r="A369" s="2" t="s">
        <v>1</v>
      </c>
      <c r="B369" s="1" t="s">
        <v>12</v>
      </c>
      <c r="C369" s="76" t="s">
        <v>54</v>
      </c>
      <c r="D369" s="76">
        <v>80</v>
      </c>
      <c r="E369" s="1" t="s">
        <v>7</v>
      </c>
      <c r="F369" s="1" t="s">
        <v>15</v>
      </c>
      <c r="G369" s="1">
        <v>82</v>
      </c>
      <c r="H369" s="1">
        <v>85</v>
      </c>
      <c r="I369" s="1">
        <v>94</v>
      </c>
    </row>
    <row r="370" spans="1:9" x14ac:dyDescent="0.25">
      <c r="A370" s="2" t="s">
        <v>1</v>
      </c>
      <c r="B370" s="1" t="s">
        <v>12</v>
      </c>
      <c r="C370" s="76" t="s">
        <v>54</v>
      </c>
      <c r="D370" s="76">
        <v>81</v>
      </c>
      <c r="E370" s="1" t="s">
        <v>7</v>
      </c>
      <c r="F370" s="1" t="s">
        <v>15</v>
      </c>
      <c r="G370" s="1">
        <v>73</v>
      </c>
      <c r="H370" s="1">
        <v>87</v>
      </c>
      <c r="I370" s="1">
        <v>83</v>
      </c>
    </row>
    <row r="371" spans="1:9" x14ac:dyDescent="0.25">
      <c r="A371" s="2" t="s">
        <v>1</v>
      </c>
      <c r="B371" s="1" t="s">
        <v>12</v>
      </c>
      <c r="C371" s="76" t="s">
        <v>54</v>
      </c>
      <c r="D371" s="76">
        <v>82</v>
      </c>
      <c r="E371" s="1" t="s">
        <v>7</v>
      </c>
      <c r="F371" s="1" t="s">
        <v>15</v>
      </c>
      <c r="G371" s="1">
        <v>82</v>
      </c>
      <c r="H371" s="1">
        <v>95</v>
      </c>
      <c r="I371" s="1">
        <v>100</v>
      </c>
    </row>
    <row r="372" spans="1:9" x14ac:dyDescent="0.25">
      <c r="A372" s="2" t="s">
        <v>1</v>
      </c>
      <c r="B372" s="1" t="s">
        <v>12</v>
      </c>
      <c r="C372" s="76" t="s">
        <v>54</v>
      </c>
      <c r="D372" s="76">
        <v>83</v>
      </c>
      <c r="E372" s="1" t="s">
        <v>73</v>
      </c>
      <c r="F372" s="1" t="s">
        <v>14</v>
      </c>
      <c r="G372" s="1">
        <v>68</v>
      </c>
      <c r="H372" s="1">
        <v>76</v>
      </c>
      <c r="I372" s="1">
        <v>79</v>
      </c>
    </row>
    <row r="373" spans="1:9" x14ac:dyDescent="0.25">
      <c r="A373" s="2" t="s">
        <v>1</v>
      </c>
      <c r="B373" s="1" t="s">
        <v>12</v>
      </c>
      <c r="C373" s="76" t="s">
        <v>54</v>
      </c>
      <c r="D373" s="76">
        <v>84</v>
      </c>
      <c r="E373" s="1" t="s">
        <v>73</v>
      </c>
      <c r="F373" s="1" t="s">
        <v>14</v>
      </c>
      <c r="G373" s="1">
        <v>62</v>
      </c>
      <c r="H373" s="1">
        <v>65</v>
      </c>
      <c r="I373" s="1">
        <v>69</v>
      </c>
    </row>
    <row r="374" spans="1:9" x14ac:dyDescent="0.25">
      <c r="A374" s="2" t="s">
        <v>1</v>
      </c>
      <c r="B374" s="1" t="s">
        <v>12</v>
      </c>
      <c r="C374" s="76" t="s">
        <v>54</v>
      </c>
      <c r="D374" s="76">
        <v>85</v>
      </c>
      <c r="E374" s="1" t="s">
        <v>73</v>
      </c>
      <c r="F374" s="1" t="s">
        <v>14</v>
      </c>
      <c r="G374" s="1">
        <v>45</v>
      </c>
      <c r="H374" s="1">
        <v>61</v>
      </c>
      <c r="I374" s="1">
        <v>57</v>
      </c>
    </row>
    <row r="375" spans="1:9" x14ac:dyDescent="0.25">
      <c r="A375" s="2" t="s">
        <v>1</v>
      </c>
      <c r="B375" s="1" t="s">
        <v>12</v>
      </c>
      <c r="C375" s="76" t="s">
        <v>54</v>
      </c>
      <c r="D375" s="76">
        <v>86</v>
      </c>
      <c r="E375" s="1" t="s">
        <v>73</v>
      </c>
      <c r="F375" s="1" t="s">
        <v>14</v>
      </c>
      <c r="G375" s="1">
        <v>39</v>
      </c>
      <c r="H375" s="1">
        <v>65</v>
      </c>
      <c r="I375" s="1">
        <v>64</v>
      </c>
    </row>
    <row r="376" spans="1:9" x14ac:dyDescent="0.25">
      <c r="A376" s="2" t="s">
        <v>1</v>
      </c>
      <c r="B376" s="1" t="s">
        <v>12</v>
      </c>
      <c r="C376" s="76" t="s">
        <v>54</v>
      </c>
      <c r="D376" s="76">
        <v>87</v>
      </c>
      <c r="E376" s="1" t="s">
        <v>73</v>
      </c>
      <c r="F376" s="1" t="s">
        <v>14</v>
      </c>
      <c r="G376" s="1">
        <v>71</v>
      </c>
      <c r="H376" s="1">
        <v>78</v>
      </c>
      <c r="I376" s="1">
        <v>81</v>
      </c>
    </row>
    <row r="377" spans="1:9" x14ac:dyDescent="0.25">
      <c r="A377" s="2" t="s">
        <v>1</v>
      </c>
      <c r="B377" s="1" t="s">
        <v>12</v>
      </c>
      <c r="C377" s="76" t="s">
        <v>54</v>
      </c>
      <c r="D377" s="76">
        <v>88</v>
      </c>
      <c r="E377" s="1" t="s">
        <v>73</v>
      </c>
      <c r="F377" s="1" t="s">
        <v>15</v>
      </c>
      <c r="G377" s="1">
        <v>64</v>
      </c>
      <c r="H377" s="1">
        <v>67</v>
      </c>
      <c r="I377" s="1">
        <v>75</v>
      </c>
    </row>
    <row r="378" spans="1:9" x14ac:dyDescent="0.25">
      <c r="A378" s="2" t="s">
        <v>1</v>
      </c>
      <c r="B378" s="1" t="s">
        <v>12</v>
      </c>
      <c r="C378" s="76" t="s">
        <v>54</v>
      </c>
      <c r="D378" s="76">
        <v>89</v>
      </c>
      <c r="E378" s="1" t="s">
        <v>73</v>
      </c>
      <c r="F378" s="1" t="s">
        <v>15</v>
      </c>
      <c r="G378" s="1">
        <v>73</v>
      </c>
      <c r="H378" s="1">
        <v>72</v>
      </c>
      <c r="I378" s="1">
        <v>79</v>
      </c>
    </row>
    <row r="379" spans="1:9" x14ac:dyDescent="0.25">
      <c r="A379" s="2" t="s">
        <v>1</v>
      </c>
      <c r="B379" s="1" t="s">
        <v>12</v>
      </c>
      <c r="C379" s="76" t="s">
        <v>54</v>
      </c>
      <c r="D379" s="76">
        <v>90</v>
      </c>
      <c r="E379" s="1" t="s">
        <v>73</v>
      </c>
      <c r="F379" s="1" t="s">
        <v>15</v>
      </c>
      <c r="G379" s="1">
        <v>47</v>
      </c>
      <c r="H379" s="1">
        <v>58</v>
      </c>
      <c r="I379" s="1">
        <v>56</v>
      </c>
    </row>
    <row r="380" spans="1:9" x14ac:dyDescent="0.25">
      <c r="A380" s="2" t="s">
        <v>1</v>
      </c>
      <c r="B380" s="1" t="s">
        <v>12</v>
      </c>
      <c r="C380" s="77" t="s">
        <v>42</v>
      </c>
      <c r="D380" s="77">
        <v>65</v>
      </c>
      <c r="E380" s="1" t="s">
        <v>7</v>
      </c>
      <c r="F380" s="1" t="s">
        <v>14</v>
      </c>
      <c r="G380" s="1">
        <v>73</v>
      </c>
      <c r="H380" s="1">
        <v>89</v>
      </c>
      <c r="I380" s="1">
        <v>89</v>
      </c>
    </row>
    <row r="381" spans="1:9" x14ac:dyDescent="0.25">
      <c r="A381" s="2" t="s">
        <v>1</v>
      </c>
      <c r="B381" s="1" t="s">
        <v>12</v>
      </c>
      <c r="C381" s="77" t="s">
        <v>42</v>
      </c>
      <c r="D381" s="77">
        <v>66</v>
      </c>
      <c r="E381" s="1" t="s">
        <v>7</v>
      </c>
      <c r="F381" s="1" t="s">
        <v>14</v>
      </c>
      <c r="G381" s="1">
        <v>75</v>
      </c>
      <c r="H381" s="1">
        <v>75</v>
      </c>
      <c r="I381" s="1">
        <v>78</v>
      </c>
    </row>
    <row r="382" spans="1:9" x14ac:dyDescent="0.25">
      <c r="A382" s="2" t="s">
        <v>1</v>
      </c>
      <c r="B382" s="1" t="s">
        <v>12</v>
      </c>
      <c r="C382" s="77" t="s">
        <v>42</v>
      </c>
      <c r="D382" s="77">
        <v>67</v>
      </c>
      <c r="E382" s="1" t="s">
        <v>7</v>
      </c>
      <c r="F382" s="1" t="s">
        <v>14</v>
      </c>
      <c r="G382" s="1">
        <v>62</v>
      </c>
      <c r="H382" s="1">
        <v>62</v>
      </c>
      <c r="I382" s="1">
        <v>68</v>
      </c>
    </row>
    <row r="383" spans="1:9" x14ac:dyDescent="0.25">
      <c r="A383" s="2" t="s">
        <v>1</v>
      </c>
      <c r="B383" s="1" t="s">
        <v>12</v>
      </c>
      <c r="C383" s="77" t="s">
        <v>42</v>
      </c>
      <c r="D383" s="77">
        <v>68</v>
      </c>
      <c r="E383" s="1" t="s">
        <v>7</v>
      </c>
      <c r="F383" s="1" t="s">
        <v>14</v>
      </c>
      <c r="G383" s="1">
        <v>74</v>
      </c>
      <c r="H383" s="1">
        <v>79</v>
      </c>
      <c r="I383" s="1">
        <v>73</v>
      </c>
    </row>
    <row r="384" spans="1:9" x14ac:dyDescent="0.25">
      <c r="A384" s="2" t="s">
        <v>1</v>
      </c>
      <c r="B384" s="1" t="s">
        <v>12</v>
      </c>
      <c r="C384" s="77" t="s">
        <v>42</v>
      </c>
      <c r="D384" s="77">
        <v>69</v>
      </c>
      <c r="E384" s="1" t="s">
        <v>7</v>
      </c>
      <c r="F384" s="1" t="s">
        <v>14</v>
      </c>
      <c r="G384" s="1">
        <v>71</v>
      </c>
      <c r="H384" s="1">
        <v>74</v>
      </c>
      <c r="I384" s="1">
        <v>80</v>
      </c>
    </row>
    <row r="385" spans="1:9" x14ac:dyDescent="0.25">
      <c r="A385" s="2" t="s">
        <v>1</v>
      </c>
      <c r="B385" s="1" t="s">
        <v>12</v>
      </c>
      <c r="C385" s="77" t="s">
        <v>42</v>
      </c>
      <c r="D385" s="77">
        <v>70</v>
      </c>
      <c r="E385" s="1" t="s">
        <v>7</v>
      </c>
      <c r="F385" s="1" t="s">
        <v>14</v>
      </c>
      <c r="G385" s="1">
        <v>71</v>
      </c>
      <c r="H385" s="1">
        <v>71</v>
      </c>
      <c r="I385" s="1">
        <v>76</v>
      </c>
    </row>
    <row r="386" spans="1:9" x14ac:dyDescent="0.25">
      <c r="A386" s="2" t="s">
        <v>1</v>
      </c>
      <c r="B386" s="1" t="s">
        <v>12</v>
      </c>
      <c r="C386" s="77" t="s">
        <v>42</v>
      </c>
      <c r="D386" s="77">
        <v>71</v>
      </c>
      <c r="E386" s="1" t="s">
        <v>7</v>
      </c>
      <c r="F386" s="1" t="s">
        <v>14</v>
      </c>
      <c r="G386" s="1">
        <v>56</v>
      </c>
      <c r="H386" s="1">
        <v>53</v>
      </c>
      <c r="I386" s="1">
        <v>58</v>
      </c>
    </row>
    <row r="387" spans="1:9" x14ac:dyDescent="0.25">
      <c r="A387" s="2" t="s">
        <v>1</v>
      </c>
      <c r="B387" s="1" t="s">
        <v>12</v>
      </c>
      <c r="C387" s="77" t="s">
        <v>42</v>
      </c>
      <c r="D387" s="77">
        <v>72</v>
      </c>
      <c r="E387" s="1" t="s">
        <v>7</v>
      </c>
      <c r="F387" s="1" t="s">
        <v>14</v>
      </c>
      <c r="G387" s="1">
        <v>58</v>
      </c>
      <c r="H387" s="1">
        <v>62</v>
      </c>
      <c r="I387" s="1">
        <v>63</v>
      </c>
    </row>
    <row r="388" spans="1:9" x14ac:dyDescent="0.25">
      <c r="A388" s="2" t="s">
        <v>1</v>
      </c>
      <c r="B388" s="1" t="s">
        <v>12</v>
      </c>
      <c r="C388" s="77" t="s">
        <v>42</v>
      </c>
      <c r="D388" s="77">
        <v>73</v>
      </c>
      <c r="E388" s="1" t="s">
        <v>7</v>
      </c>
      <c r="F388" s="1" t="s">
        <v>14</v>
      </c>
      <c r="G388" s="1">
        <v>84</v>
      </c>
      <c r="H388" s="1">
        <v>97</v>
      </c>
      <c r="I388" s="1">
        <v>96</v>
      </c>
    </row>
    <row r="389" spans="1:9" x14ac:dyDescent="0.25">
      <c r="A389" s="2" t="s">
        <v>1</v>
      </c>
      <c r="B389" s="1" t="s">
        <v>12</v>
      </c>
      <c r="C389" s="77" t="s">
        <v>42</v>
      </c>
      <c r="D389" s="77">
        <v>74</v>
      </c>
      <c r="E389" s="1" t="s">
        <v>7</v>
      </c>
      <c r="F389" s="1" t="s">
        <v>14</v>
      </c>
      <c r="G389" s="1">
        <v>68</v>
      </c>
      <c r="H389" s="1">
        <v>76</v>
      </c>
      <c r="I389" s="1">
        <v>79</v>
      </c>
    </row>
    <row r="390" spans="1:9" x14ac:dyDescent="0.25">
      <c r="A390" s="2" t="s">
        <v>1</v>
      </c>
      <c r="B390" s="1" t="s">
        <v>12</v>
      </c>
      <c r="C390" s="77" t="s">
        <v>42</v>
      </c>
      <c r="D390" s="77">
        <v>75</v>
      </c>
      <c r="E390" s="1" t="s">
        <v>7</v>
      </c>
      <c r="F390" s="1" t="s">
        <v>14</v>
      </c>
      <c r="G390" s="1">
        <v>74</v>
      </c>
      <c r="H390" s="1">
        <v>81</v>
      </c>
      <c r="I390" s="1">
        <v>82</v>
      </c>
    </row>
    <row r="391" spans="1:9" x14ac:dyDescent="0.25">
      <c r="A391" s="2" t="s">
        <v>1</v>
      </c>
      <c r="B391" s="1" t="s">
        <v>12</v>
      </c>
      <c r="C391" s="77" t="s">
        <v>42</v>
      </c>
      <c r="D391" s="77">
        <v>76</v>
      </c>
      <c r="E391" s="1" t="s">
        <v>7</v>
      </c>
      <c r="F391" s="1" t="s">
        <v>14</v>
      </c>
      <c r="G391" s="1">
        <v>66</v>
      </c>
      <c r="H391" s="1">
        <v>70</v>
      </c>
      <c r="I391" s="1">
        <v>67</v>
      </c>
    </row>
    <row r="392" spans="1:9" x14ac:dyDescent="0.25">
      <c r="A392" s="2" t="s">
        <v>1</v>
      </c>
      <c r="B392" s="1" t="s">
        <v>12</v>
      </c>
      <c r="C392" s="77" t="s">
        <v>42</v>
      </c>
      <c r="D392" s="77">
        <v>77</v>
      </c>
      <c r="E392" s="1" t="s">
        <v>7</v>
      </c>
      <c r="F392" s="1" t="s">
        <v>15</v>
      </c>
      <c r="G392" s="1">
        <v>59</v>
      </c>
      <c r="H392" s="1">
        <v>70</v>
      </c>
      <c r="I392" s="1">
        <v>78</v>
      </c>
    </row>
    <row r="393" spans="1:9" x14ac:dyDescent="0.25">
      <c r="A393" s="2" t="s">
        <v>1</v>
      </c>
      <c r="B393" s="1" t="s">
        <v>12</v>
      </c>
      <c r="C393" s="77" t="s">
        <v>42</v>
      </c>
      <c r="D393" s="77">
        <v>78</v>
      </c>
      <c r="E393" s="1" t="s">
        <v>7</v>
      </c>
      <c r="F393" s="1" t="s">
        <v>15</v>
      </c>
      <c r="G393" s="1">
        <v>68</v>
      </c>
      <c r="H393" s="1">
        <v>84</v>
      </c>
      <c r="I393" s="1">
        <v>87</v>
      </c>
    </row>
    <row r="394" spans="1:9" x14ac:dyDescent="0.25">
      <c r="A394" s="2" t="s">
        <v>1</v>
      </c>
      <c r="B394" s="1" t="s">
        <v>12</v>
      </c>
      <c r="C394" s="77" t="s">
        <v>42</v>
      </c>
      <c r="D394" s="77">
        <v>79</v>
      </c>
      <c r="E394" s="1" t="s">
        <v>7</v>
      </c>
      <c r="F394" s="1" t="s">
        <v>15</v>
      </c>
      <c r="G394" s="1">
        <v>61</v>
      </c>
      <c r="H394" s="1">
        <v>63</v>
      </c>
      <c r="I394" s="1">
        <v>70</v>
      </c>
    </row>
    <row r="395" spans="1:9" x14ac:dyDescent="0.25">
      <c r="A395" s="2" t="s">
        <v>1</v>
      </c>
      <c r="B395" s="1" t="s">
        <v>12</v>
      </c>
      <c r="C395" s="77" t="s">
        <v>42</v>
      </c>
      <c r="D395" s="77">
        <v>80</v>
      </c>
      <c r="E395" s="1" t="s">
        <v>7</v>
      </c>
      <c r="F395" s="1" t="s">
        <v>15</v>
      </c>
      <c r="G395" s="1">
        <v>81</v>
      </c>
      <c r="H395" s="1">
        <v>93</v>
      </c>
      <c r="I395" s="1">
        <v>94</v>
      </c>
    </row>
    <row r="396" spans="1:9" x14ac:dyDescent="0.25">
      <c r="A396" s="2" t="s">
        <v>1</v>
      </c>
      <c r="B396" s="1" t="s">
        <v>12</v>
      </c>
      <c r="C396" s="77" t="s">
        <v>42</v>
      </c>
      <c r="D396" s="77">
        <v>81</v>
      </c>
      <c r="E396" s="1" t="s">
        <v>7</v>
      </c>
      <c r="F396" s="1" t="s">
        <v>15</v>
      </c>
      <c r="G396" s="1">
        <v>81</v>
      </c>
      <c r="H396" s="1">
        <v>99</v>
      </c>
      <c r="I396" s="1">
        <v>96</v>
      </c>
    </row>
    <row r="397" spans="1:9" x14ac:dyDescent="0.25">
      <c r="A397" s="2" t="s">
        <v>1</v>
      </c>
      <c r="B397" s="1" t="s">
        <v>12</v>
      </c>
      <c r="C397" s="77" t="s">
        <v>42</v>
      </c>
      <c r="D397" s="77">
        <v>82</v>
      </c>
      <c r="E397" s="1" t="s">
        <v>73</v>
      </c>
      <c r="F397" s="1" t="s">
        <v>14</v>
      </c>
      <c r="G397" s="1">
        <v>57</v>
      </c>
      <c r="H397" s="1">
        <v>76</v>
      </c>
      <c r="I397" s="1">
        <v>77</v>
      </c>
    </row>
    <row r="398" spans="1:9" x14ac:dyDescent="0.25">
      <c r="A398" s="2" t="s">
        <v>1</v>
      </c>
      <c r="B398" s="1" t="s">
        <v>12</v>
      </c>
      <c r="C398" s="77" t="s">
        <v>42</v>
      </c>
      <c r="D398" s="77">
        <v>83</v>
      </c>
      <c r="E398" s="1" t="s">
        <v>73</v>
      </c>
      <c r="F398" s="1" t="s">
        <v>14</v>
      </c>
      <c r="G398" s="1">
        <v>71</v>
      </c>
      <c r="H398" s="1">
        <v>83</v>
      </c>
      <c r="I398" s="1">
        <v>80</v>
      </c>
    </row>
    <row r="399" spans="1:9" x14ac:dyDescent="0.25">
      <c r="A399" s="2" t="s">
        <v>1</v>
      </c>
      <c r="B399" s="1" t="s">
        <v>12</v>
      </c>
      <c r="C399" s="77" t="s">
        <v>42</v>
      </c>
      <c r="D399" s="77">
        <v>84</v>
      </c>
      <c r="E399" s="1" t="s">
        <v>73</v>
      </c>
      <c r="F399" s="1" t="s">
        <v>14</v>
      </c>
      <c r="G399" s="1">
        <v>50</v>
      </c>
      <c r="H399" s="1">
        <v>66</v>
      </c>
      <c r="I399" s="1">
        <v>66</v>
      </c>
    </row>
    <row r="400" spans="1:9" x14ac:dyDescent="0.25">
      <c r="A400" s="2" t="s">
        <v>1</v>
      </c>
      <c r="B400" s="1" t="s">
        <v>12</v>
      </c>
      <c r="C400" s="77" t="s">
        <v>42</v>
      </c>
      <c r="D400" s="77">
        <v>85</v>
      </c>
      <c r="E400" s="1" t="s">
        <v>73</v>
      </c>
      <c r="F400" s="1" t="s">
        <v>14</v>
      </c>
      <c r="G400" s="1">
        <v>43</v>
      </c>
      <c r="H400" s="1">
        <v>48</v>
      </c>
      <c r="I400" s="1">
        <v>53</v>
      </c>
    </row>
    <row r="401" spans="1:9" x14ac:dyDescent="0.25">
      <c r="A401" s="2" t="s">
        <v>1</v>
      </c>
      <c r="B401" s="1" t="s">
        <v>12</v>
      </c>
      <c r="C401" s="77" t="s">
        <v>42</v>
      </c>
      <c r="D401" s="77">
        <v>86</v>
      </c>
      <c r="E401" s="1" t="s">
        <v>73</v>
      </c>
      <c r="F401" s="1" t="s">
        <v>14</v>
      </c>
      <c r="G401" s="1">
        <v>41</v>
      </c>
      <c r="H401" s="1">
        <v>58</v>
      </c>
      <c r="I401" s="1">
        <v>60</v>
      </c>
    </row>
    <row r="402" spans="1:9" x14ac:dyDescent="0.25">
      <c r="A402" s="2" t="s">
        <v>1</v>
      </c>
      <c r="B402" s="1" t="s">
        <v>12</v>
      </c>
      <c r="C402" s="77" t="s">
        <v>42</v>
      </c>
      <c r="D402" s="77">
        <v>87</v>
      </c>
      <c r="E402" s="1" t="s">
        <v>73</v>
      </c>
      <c r="F402" s="1" t="s">
        <v>14</v>
      </c>
      <c r="G402" s="1">
        <v>36</v>
      </c>
      <c r="H402" s="1">
        <v>45</v>
      </c>
      <c r="I402" s="1">
        <v>44</v>
      </c>
    </row>
    <row r="403" spans="1:9" x14ac:dyDescent="0.25">
      <c r="A403" s="2" t="s">
        <v>1</v>
      </c>
      <c r="B403" s="1" t="s">
        <v>12</v>
      </c>
      <c r="C403" s="77" t="s">
        <v>42</v>
      </c>
      <c r="D403" s="77">
        <v>88</v>
      </c>
      <c r="E403" s="1" t="s">
        <v>73</v>
      </c>
      <c r="F403" s="1" t="s">
        <v>15</v>
      </c>
      <c r="G403" s="1">
        <v>64</v>
      </c>
      <c r="H403" s="1">
        <v>82</v>
      </c>
      <c r="I403" s="1">
        <v>80</v>
      </c>
    </row>
    <row r="404" spans="1:9" x14ac:dyDescent="0.25">
      <c r="A404" s="2" t="s">
        <v>1</v>
      </c>
      <c r="B404" s="1" t="s">
        <v>12</v>
      </c>
      <c r="C404" s="77" t="s">
        <v>42</v>
      </c>
      <c r="D404" s="77">
        <v>89</v>
      </c>
      <c r="E404" s="1" t="s">
        <v>73</v>
      </c>
      <c r="F404" s="1" t="s">
        <v>15</v>
      </c>
      <c r="G404" s="1">
        <v>64</v>
      </c>
      <c r="H404" s="1">
        <v>66</v>
      </c>
      <c r="I404" s="1">
        <v>62</v>
      </c>
    </row>
    <row r="405" spans="1:9" x14ac:dyDescent="0.25">
      <c r="A405" s="2" t="s">
        <v>1</v>
      </c>
      <c r="B405" s="1" t="s">
        <v>12</v>
      </c>
      <c r="C405" s="77" t="s">
        <v>42</v>
      </c>
      <c r="D405" s="77">
        <v>90</v>
      </c>
      <c r="E405" s="1" t="s">
        <v>73</v>
      </c>
      <c r="F405" s="1" t="s">
        <v>15</v>
      </c>
      <c r="G405" s="1">
        <v>66</v>
      </c>
      <c r="H405" s="1">
        <v>71</v>
      </c>
      <c r="I405" s="1">
        <v>87</v>
      </c>
    </row>
    <row r="406" spans="1:9" x14ac:dyDescent="0.25">
      <c r="A406" s="2" t="s">
        <v>1</v>
      </c>
      <c r="B406" s="1" t="s">
        <v>12</v>
      </c>
      <c r="C406" s="78" t="s">
        <v>52</v>
      </c>
      <c r="D406" s="78">
        <v>33</v>
      </c>
      <c r="E406" s="1" t="s">
        <v>7</v>
      </c>
      <c r="F406" s="1" t="s">
        <v>14</v>
      </c>
      <c r="G406" s="1">
        <v>78</v>
      </c>
      <c r="H406" s="1">
        <v>80</v>
      </c>
      <c r="I406" s="1">
        <v>79</v>
      </c>
    </row>
    <row r="407" spans="1:9" x14ac:dyDescent="0.25">
      <c r="A407" s="2" t="s">
        <v>1</v>
      </c>
      <c r="B407" s="1" t="s">
        <v>12</v>
      </c>
      <c r="C407" s="78" t="s">
        <v>52</v>
      </c>
      <c r="D407" s="78">
        <v>34</v>
      </c>
      <c r="E407" s="1" t="s">
        <v>7</v>
      </c>
      <c r="F407" s="1" t="s">
        <v>14</v>
      </c>
      <c r="G407" s="1">
        <v>58</v>
      </c>
      <c r="H407" s="1">
        <v>61</v>
      </c>
      <c r="I407" s="1">
        <v>59</v>
      </c>
    </row>
    <row r="408" spans="1:9" x14ac:dyDescent="0.25">
      <c r="A408" s="2" t="s">
        <v>1</v>
      </c>
      <c r="B408" s="1" t="s">
        <v>12</v>
      </c>
      <c r="C408" s="78" t="s">
        <v>52</v>
      </c>
      <c r="D408" s="78">
        <v>35</v>
      </c>
      <c r="E408" s="1" t="s">
        <v>7</v>
      </c>
      <c r="F408" s="1" t="s">
        <v>14</v>
      </c>
      <c r="G408" s="1">
        <v>41</v>
      </c>
      <c r="H408" s="1">
        <v>51</v>
      </c>
      <c r="I408" s="1">
        <v>53</v>
      </c>
    </row>
    <row r="409" spans="1:9" x14ac:dyDescent="0.25">
      <c r="A409" s="2" t="s">
        <v>1</v>
      </c>
      <c r="B409" s="1" t="s">
        <v>12</v>
      </c>
      <c r="C409" s="78" t="s">
        <v>52</v>
      </c>
      <c r="D409" s="78">
        <v>36</v>
      </c>
      <c r="E409" s="1" t="s">
        <v>7</v>
      </c>
      <c r="F409" s="1" t="s">
        <v>15</v>
      </c>
      <c r="G409" s="1">
        <v>60</v>
      </c>
      <c r="H409" s="1">
        <v>74</v>
      </c>
      <c r="I409" s="1">
        <v>72</v>
      </c>
    </row>
    <row r="410" spans="1:9" x14ac:dyDescent="0.25">
      <c r="A410" s="2" t="s">
        <v>1</v>
      </c>
      <c r="B410" s="1" t="s">
        <v>12</v>
      </c>
      <c r="C410" s="78" t="s">
        <v>52</v>
      </c>
      <c r="D410" s="78">
        <v>37</v>
      </c>
      <c r="E410" s="1" t="s">
        <v>7</v>
      </c>
      <c r="F410" s="1" t="s">
        <v>15</v>
      </c>
      <c r="G410" s="1">
        <v>83</v>
      </c>
      <c r="H410" s="1">
        <v>100</v>
      </c>
      <c r="I410" s="1">
        <v>100</v>
      </c>
    </row>
    <row r="411" spans="1:9" x14ac:dyDescent="0.25">
      <c r="A411" s="2" t="s">
        <v>1</v>
      </c>
      <c r="B411" s="1" t="s">
        <v>12</v>
      </c>
      <c r="C411" s="78" t="s">
        <v>52</v>
      </c>
      <c r="D411" s="78">
        <v>38</v>
      </c>
      <c r="E411" s="1" t="s">
        <v>73</v>
      </c>
      <c r="F411" s="1" t="s">
        <v>14</v>
      </c>
      <c r="G411" s="1">
        <v>69</v>
      </c>
      <c r="H411" s="1">
        <v>85</v>
      </c>
      <c r="I411" s="1">
        <v>83</v>
      </c>
    </row>
    <row r="412" spans="1:9" x14ac:dyDescent="0.25">
      <c r="A412" s="2" t="s">
        <v>1</v>
      </c>
      <c r="B412" s="1" t="s">
        <v>12</v>
      </c>
      <c r="C412" s="78" t="s">
        <v>52</v>
      </c>
      <c r="D412" s="78">
        <v>39</v>
      </c>
      <c r="E412" s="1" t="s">
        <v>73</v>
      </c>
      <c r="F412" s="1" t="s">
        <v>14</v>
      </c>
      <c r="G412" s="1">
        <v>73</v>
      </c>
      <c r="H412" s="1">
        <v>85</v>
      </c>
      <c r="I412" s="1">
        <v>83</v>
      </c>
    </row>
    <row r="413" spans="1:9" x14ac:dyDescent="0.25">
      <c r="A413" s="2" t="s">
        <v>1</v>
      </c>
      <c r="B413" s="1" t="s">
        <v>12</v>
      </c>
      <c r="C413" s="78" t="s">
        <v>52</v>
      </c>
      <c r="D413" s="78">
        <v>40</v>
      </c>
      <c r="E413" s="1" t="s">
        <v>73</v>
      </c>
      <c r="F413" s="1" t="s">
        <v>14</v>
      </c>
      <c r="G413" s="1">
        <v>68</v>
      </c>
      <c r="H413" s="1">
        <v>79</v>
      </c>
      <c r="I413" s="1">
        <v>78</v>
      </c>
    </row>
    <row r="414" spans="1:9" x14ac:dyDescent="0.25">
      <c r="A414" s="2" t="s">
        <v>1</v>
      </c>
      <c r="B414" s="1" t="s">
        <v>12</v>
      </c>
      <c r="C414" s="78" t="s">
        <v>52</v>
      </c>
      <c r="D414" s="78">
        <v>41</v>
      </c>
      <c r="E414" s="1" t="s">
        <v>73</v>
      </c>
      <c r="F414" s="1" t="s">
        <v>15</v>
      </c>
      <c r="G414" s="1">
        <v>59</v>
      </c>
      <c r="H414" s="1">
        <v>78</v>
      </c>
      <c r="I414" s="1">
        <v>80</v>
      </c>
    </row>
    <row r="415" spans="1:9" x14ac:dyDescent="0.25">
      <c r="A415" s="2" t="s">
        <v>1</v>
      </c>
      <c r="B415" s="1" t="s">
        <v>12</v>
      </c>
      <c r="C415" s="78" t="s">
        <v>52</v>
      </c>
      <c r="D415" s="78">
        <v>42</v>
      </c>
      <c r="E415" s="1" t="s">
        <v>73</v>
      </c>
      <c r="F415" s="1" t="s">
        <v>15</v>
      </c>
      <c r="G415" s="1">
        <v>64</v>
      </c>
      <c r="H415" s="1">
        <v>77</v>
      </c>
      <c r="I415" s="1">
        <v>77</v>
      </c>
    </row>
    <row r="416" spans="1:9" x14ac:dyDescent="0.25">
      <c r="A416" s="2" t="s">
        <v>1</v>
      </c>
      <c r="B416" s="1" t="s">
        <v>12</v>
      </c>
      <c r="C416" s="78" t="s">
        <v>52</v>
      </c>
      <c r="D416" s="78">
        <v>43</v>
      </c>
      <c r="E416" s="1" t="s">
        <v>73</v>
      </c>
      <c r="F416" s="1" t="s">
        <v>15</v>
      </c>
      <c r="G416" s="1">
        <v>81</v>
      </c>
      <c r="H416" s="1">
        <v>96</v>
      </c>
      <c r="I416" s="1">
        <v>99</v>
      </c>
    </row>
    <row r="417" spans="1:9" x14ac:dyDescent="0.25">
      <c r="A417" s="2" t="s">
        <v>1</v>
      </c>
      <c r="B417" s="1" t="s">
        <v>12</v>
      </c>
      <c r="C417" s="78" t="s">
        <v>52</v>
      </c>
      <c r="D417" s="78">
        <v>44</v>
      </c>
      <c r="E417" s="1" t="s">
        <v>73</v>
      </c>
      <c r="F417" s="1" t="s">
        <v>15</v>
      </c>
      <c r="G417" s="1">
        <v>45</v>
      </c>
      <c r="H417" s="1">
        <v>68</v>
      </c>
      <c r="I417" s="1">
        <v>71</v>
      </c>
    </row>
    <row r="418" spans="1:9" x14ac:dyDescent="0.25">
      <c r="A418" s="2" t="s">
        <v>1</v>
      </c>
      <c r="B418" s="1" t="s">
        <v>12</v>
      </c>
      <c r="C418" s="79" t="s">
        <v>59</v>
      </c>
      <c r="D418" s="79">
        <v>21</v>
      </c>
      <c r="E418" s="1" t="s">
        <v>7</v>
      </c>
      <c r="F418" s="1" t="s">
        <v>14</v>
      </c>
      <c r="G418" s="1">
        <v>67</v>
      </c>
      <c r="H418" s="1">
        <v>75</v>
      </c>
      <c r="I418" s="1">
        <v>80</v>
      </c>
    </row>
    <row r="419" spans="1:9" x14ac:dyDescent="0.25">
      <c r="A419" s="2" t="s">
        <v>1</v>
      </c>
      <c r="B419" s="1" t="s">
        <v>12</v>
      </c>
      <c r="C419" s="79" t="s">
        <v>59</v>
      </c>
      <c r="D419" s="79">
        <v>22</v>
      </c>
      <c r="E419" s="1" t="s">
        <v>7</v>
      </c>
      <c r="F419" s="1" t="s">
        <v>14</v>
      </c>
      <c r="G419" s="1">
        <v>62</v>
      </c>
      <c r="H419" s="1">
        <v>71</v>
      </c>
      <c r="I419" s="1">
        <v>74</v>
      </c>
    </row>
    <row r="420" spans="1:9" x14ac:dyDescent="0.25">
      <c r="A420" s="2" t="s">
        <v>1</v>
      </c>
      <c r="B420" s="1" t="s">
        <v>12</v>
      </c>
      <c r="C420" s="79" t="s">
        <v>59</v>
      </c>
      <c r="D420" s="79">
        <v>23</v>
      </c>
      <c r="E420" s="1" t="s">
        <v>7</v>
      </c>
      <c r="F420" s="1" t="s">
        <v>14</v>
      </c>
      <c r="G420" s="1">
        <v>44</v>
      </c>
      <c r="H420" s="1">
        <v>39</v>
      </c>
      <c r="I420" s="1">
        <v>37</v>
      </c>
    </row>
    <row r="421" spans="1:9" x14ac:dyDescent="0.25">
      <c r="A421" s="2" t="s">
        <v>1</v>
      </c>
      <c r="B421" s="1" t="s">
        <v>12</v>
      </c>
      <c r="C421" s="79" t="s">
        <v>59</v>
      </c>
      <c r="D421" s="79">
        <v>24</v>
      </c>
      <c r="E421" s="1" t="s">
        <v>7</v>
      </c>
      <c r="F421" s="1" t="s">
        <v>14</v>
      </c>
      <c r="G421" s="1">
        <v>65</v>
      </c>
      <c r="H421" s="1">
        <v>73</v>
      </c>
      <c r="I421" s="1">
        <v>77</v>
      </c>
    </row>
    <row r="422" spans="1:9" x14ac:dyDescent="0.25">
      <c r="A422" s="2" t="s">
        <v>1</v>
      </c>
      <c r="B422" s="1" t="s">
        <v>12</v>
      </c>
      <c r="C422" s="79" t="s">
        <v>59</v>
      </c>
      <c r="D422" s="79">
        <v>25</v>
      </c>
      <c r="E422" s="1" t="s">
        <v>7</v>
      </c>
      <c r="F422" s="1" t="s">
        <v>14</v>
      </c>
      <c r="G422" s="1">
        <v>69</v>
      </c>
      <c r="H422" s="1">
        <v>67</v>
      </c>
      <c r="I422" s="1">
        <v>78</v>
      </c>
    </row>
    <row r="423" spans="1:9" x14ac:dyDescent="0.25">
      <c r="A423" s="2" t="s">
        <v>1</v>
      </c>
      <c r="B423" s="1" t="s">
        <v>12</v>
      </c>
      <c r="C423" s="79" t="s">
        <v>59</v>
      </c>
      <c r="D423" s="79">
        <v>26</v>
      </c>
      <c r="E423" s="1" t="s">
        <v>7</v>
      </c>
      <c r="F423" s="1" t="s">
        <v>15</v>
      </c>
      <c r="G423" s="1">
        <v>64</v>
      </c>
      <c r="H423" s="1">
        <v>67</v>
      </c>
      <c r="I423" s="1">
        <v>72</v>
      </c>
    </row>
    <row r="424" spans="1:9" x14ac:dyDescent="0.25">
      <c r="A424" s="2" t="s">
        <v>1</v>
      </c>
      <c r="B424" s="1" t="s">
        <v>12</v>
      </c>
      <c r="C424" s="79" t="s">
        <v>59</v>
      </c>
      <c r="D424" s="79">
        <v>27</v>
      </c>
      <c r="E424" s="1" t="s">
        <v>7</v>
      </c>
      <c r="F424" s="1" t="s">
        <v>15</v>
      </c>
      <c r="G424" s="1">
        <v>87</v>
      </c>
      <c r="H424" s="1">
        <v>95</v>
      </c>
      <c r="I424" s="1">
        <v>100</v>
      </c>
    </row>
    <row r="425" spans="1:9" x14ac:dyDescent="0.25">
      <c r="A425" s="2" t="s">
        <v>1</v>
      </c>
      <c r="B425" s="1" t="s">
        <v>12</v>
      </c>
      <c r="C425" s="79" t="s">
        <v>59</v>
      </c>
      <c r="D425" s="79">
        <v>28</v>
      </c>
      <c r="E425" s="1" t="s">
        <v>73</v>
      </c>
      <c r="F425" s="1" t="s">
        <v>14</v>
      </c>
      <c r="G425" s="1">
        <v>32</v>
      </c>
      <c r="H425" s="1">
        <v>35</v>
      </c>
      <c r="I425" s="1">
        <v>37</v>
      </c>
    </row>
    <row r="426" spans="1:9" x14ac:dyDescent="0.25">
      <c r="A426" s="2" t="s">
        <v>1</v>
      </c>
      <c r="B426" s="1" t="s">
        <v>12</v>
      </c>
      <c r="C426" s="79" t="s">
        <v>59</v>
      </c>
      <c r="D426" s="79">
        <v>29</v>
      </c>
      <c r="E426" s="1" t="s">
        <v>73</v>
      </c>
      <c r="F426" s="1" t="s">
        <v>14</v>
      </c>
      <c r="G426" s="1">
        <v>93</v>
      </c>
      <c r="H426" s="1">
        <v>98</v>
      </c>
      <c r="I426" s="1">
        <v>94</v>
      </c>
    </row>
    <row r="427" spans="1:9" x14ac:dyDescent="0.25">
      <c r="A427" s="2" t="s">
        <v>1</v>
      </c>
      <c r="B427" s="1" t="s">
        <v>12</v>
      </c>
      <c r="C427" s="79" t="s">
        <v>59</v>
      </c>
      <c r="D427" s="79">
        <v>30</v>
      </c>
      <c r="E427" s="1" t="s">
        <v>73</v>
      </c>
      <c r="F427" s="1" t="s">
        <v>14</v>
      </c>
      <c r="G427" s="1">
        <v>73</v>
      </c>
      <c r="H427" s="1">
        <v>72</v>
      </c>
      <c r="I427" s="1">
        <v>75</v>
      </c>
    </row>
    <row r="428" spans="1:9" x14ac:dyDescent="0.25">
      <c r="A428" s="2" t="s">
        <v>1</v>
      </c>
      <c r="B428" s="1" t="s">
        <v>19</v>
      </c>
      <c r="C428" s="74" t="s">
        <v>53</v>
      </c>
      <c r="D428" s="74">
        <v>71</v>
      </c>
      <c r="E428" s="1" t="s">
        <v>7</v>
      </c>
      <c r="F428" s="1" t="s">
        <v>14</v>
      </c>
      <c r="G428" s="1">
        <v>52</v>
      </c>
      <c r="H428" s="1">
        <v>71</v>
      </c>
      <c r="I428" s="1">
        <v>70</v>
      </c>
    </row>
    <row r="429" spans="1:9" x14ac:dyDescent="0.25">
      <c r="A429" s="2" t="s">
        <v>1</v>
      </c>
      <c r="B429" s="1" t="s">
        <v>19</v>
      </c>
      <c r="C429" s="74" t="s">
        <v>53</v>
      </c>
      <c r="D429" s="74">
        <v>72</v>
      </c>
      <c r="E429" s="1" t="s">
        <v>7</v>
      </c>
      <c r="F429" s="1" t="s">
        <v>14</v>
      </c>
      <c r="G429" s="1">
        <v>48</v>
      </c>
      <c r="H429" s="1">
        <v>60</v>
      </c>
      <c r="I429" s="1">
        <v>57</v>
      </c>
    </row>
    <row r="430" spans="1:9" x14ac:dyDescent="0.25">
      <c r="A430" s="2" t="s">
        <v>1</v>
      </c>
      <c r="B430" s="1" t="s">
        <v>19</v>
      </c>
      <c r="C430" s="74" t="s">
        <v>53</v>
      </c>
      <c r="D430" s="74">
        <v>73</v>
      </c>
      <c r="E430" s="1" t="s">
        <v>7</v>
      </c>
      <c r="F430" s="1" t="s">
        <v>14</v>
      </c>
      <c r="G430" s="1">
        <v>78</v>
      </c>
      <c r="H430" s="1">
        <v>86</v>
      </c>
      <c r="I430" s="1">
        <v>80</v>
      </c>
    </row>
    <row r="431" spans="1:9" x14ac:dyDescent="0.25">
      <c r="A431" s="2" t="s">
        <v>1</v>
      </c>
      <c r="B431" s="1" t="s">
        <v>19</v>
      </c>
      <c r="C431" s="74" t="s">
        <v>53</v>
      </c>
      <c r="D431" s="74">
        <v>74</v>
      </c>
      <c r="E431" s="1" t="s">
        <v>7</v>
      </c>
      <c r="F431" s="1" t="s">
        <v>14</v>
      </c>
      <c r="G431" s="1">
        <v>91</v>
      </c>
      <c r="H431" s="1">
        <v>97</v>
      </c>
      <c r="I431" s="1">
        <v>91</v>
      </c>
    </row>
    <row r="432" spans="1:9" x14ac:dyDescent="0.25">
      <c r="A432" s="2" t="s">
        <v>1</v>
      </c>
      <c r="B432" s="1" t="s">
        <v>19</v>
      </c>
      <c r="C432" s="74" t="s">
        <v>53</v>
      </c>
      <c r="D432" s="74">
        <v>75</v>
      </c>
      <c r="E432" s="1" t="s">
        <v>7</v>
      </c>
      <c r="F432" s="1" t="s">
        <v>14</v>
      </c>
      <c r="G432" s="1">
        <v>87</v>
      </c>
      <c r="H432" s="1">
        <v>87</v>
      </c>
      <c r="I432" s="1">
        <v>84</v>
      </c>
    </row>
    <row r="433" spans="1:9" x14ac:dyDescent="0.25">
      <c r="A433" s="2" t="s">
        <v>1</v>
      </c>
      <c r="B433" s="1" t="s">
        <v>19</v>
      </c>
      <c r="C433" s="74" t="s">
        <v>53</v>
      </c>
      <c r="D433" s="74">
        <v>76</v>
      </c>
      <c r="E433" s="1" t="s">
        <v>7</v>
      </c>
      <c r="F433" s="1" t="s">
        <v>15</v>
      </c>
      <c r="G433" s="1">
        <v>89</v>
      </c>
      <c r="H433" s="1">
        <v>93</v>
      </c>
      <c r="I433" s="1">
        <v>93</v>
      </c>
    </row>
    <row r="434" spans="1:9" x14ac:dyDescent="0.25">
      <c r="A434" s="2" t="s">
        <v>1</v>
      </c>
      <c r="B434" s="1" t="s">
        <v>19</v>
      </c>
      <c r="C434" s="74" t="s">
        <v>53</v>
      </c>
      <c r="D434" s="74">
        <v>77</v>
      </c>
      <c r="E434" s="1" t="s">
        <v>7</v>
      </c>
      <c r="F434" s="1" t="s">
        <v>15</v>
      </c>
      <c r="G434" s="1">
        <v>87</v>
      </c>
      <c r="H434" s="1">
        <v>90</v>
      </c>
      <c r="I434" s="1">
        <v>90</v>
      </c>
    </row>
    <row r="435" spans="1:9" x14ac:dyDescent="0.25">
      <c r="A435" s="2" t="s">
        <v>1</v>
      </c>
      <c r="B435" s="1" t="s">
        <v>19</v>
      </c>
      <c r="C435" s="74" t="s">
        <v>53</v>
      </c>
      <c r="D435" s="74">
        <v>78</v>
      </c>
      <c r="E435" s="1" t="s">
        <v>7</v>
      </c>
      <c r="F435" s="1" t="s">
        <v>15</v>
      </c>
      <c r="G435" s="1">
        <v>89</v>
      </c>
      <c r="H435" s="1">
        <v>95</v>
      </c>
      <c r="I435" s="1">
        <v>99</v>
      </c>
    </row>
    <row r="436" spans="1:9" x14ac:dyDescent="0.25">
      <c r="A436" s="2" t="s">
        <v>1</v>
      </c>
      <c r="B436" s="1" t="s">
        <v>19</v>
      </c>
      <c r="C436" s="74" t="s">
        <v>53</v>
      </c>
      <c r="D436" s="74">
        <v>79</v>
      </c>
      <c r="E436" s="1" t="s">
        <v>7</v>
      </c>
      <c r="F436" s="1" t="s">
        <v>15</v>
      </c>
      <c r="G436" s="1">
        <v>90</v>
      </c>
      <c r="H436" s="1">
        <v>96</v>
      </c>
      <c r="I436" s="1">
        <v>98</v>
      </c>
    </row>
    <row r="437" spans="1:9" x14ac:dyDescent="0.25">
      <c r="A437" s="2" t="s">
        <v>1</v>
      </c>
      <c r="B437" s="1" t="s">
        <v>19</v>
      </c>
      <c r="C437" s="74" t="s">
        <v>53</v>
      </c>
      <c r="D437" s="74">
        <v>80</v>
      </c>
      <c r="E437" s="1" t="s">
        <v>73</v>
      </c>
      <c r="F437" s="1" t="s">
        <v>14</v>
      </c>
      <c r="G437" s="1">
        <v>63</v>
      </c>
      <c r="H437" s="1">
        <v>72</v>
      </c>
      <c r="I437" s="1">
        <v>60</v>
      </c>
    </row>
    <row r="438" spans="1:9" x14ac:dyDescent="0.25">
      <c r="A438" s="2" t="s">
        <v>1</v>
      </c>
      <c r="B438" s="1" t="s">
        <v>19</v>
      </c>
      <c r="C438" s="74" t="s">
        <v>53</v>
      </c>
      <c r="D438" s="74">
        <v>81</v>
      </c>
      <c r="E438" s="1" t="s">
        <v>73</v>
      </c>
      <c r="F438" s="1" t="s">
        <v>14</v>
      </c>
      <c r="G438" s="1">
        <v>62</v>
      </c>
      <c r="H438" s="1">
        <v>71</v>
      </c>
      <c r="I438" s="1">
        <v>61</v>
      </c>
    </row>
    <row r="439" spans="1:9" x14ac:dyDescent="0.25">
      <c r="A439" s="2" t="s">
        <v>1</v>
      </c>
      <c r="B439" s="1" t="s">
        <v>19</v>
      </c>
      <c r="C439" s="74" t="s">
        <v>53</v>
      </c>
      <c r="D439" s="74">
        <v>82</v>
      </c>
      <c r="E439" s="1" t="s">
        <v>73</v>
      </c>
      <c r="F439" s="1" t="s">
        <v>15</v>
      </c>
      <c r="G439" s="1">
        <v>46</v>
      </c>
      <c r="H439" s="1">
        <v>57</v>
      </c>
      <c r="I439" s="1">
        <v>57</v>
      </c>
    </row>
    <row r="440" spans="1:9" x14ac:dyDescent="0.25">
      <c r="A440" s="2" t="s">
        <v>1</v>
      </c>
      <c r="B440" s="1" t="s">
        <v>19</v>
      </c>
      <c r="C440" s="74" t="s">
        <v>53</v>
      </c>
      <c r="D440" s="74">
        <v>83</v>
      </c>
      <c r="E440" s="1" t="s">
        <v>73</v>
      </c>
      <c r="F440" s="1" t="s">
        <v>15</v>
      </c>
      <c r="G440" s="1">
        <v>65</v>
      </c>
      <c r="H440" s="1">
        <v>72</v>
      </c>
      <c r="I440" s="1">
        <v>76</v>
      </c>
    </row>
    <row r="441" spans="1:9" x14ac:dyDescent="0.25">
      <c r="A441" s="2" t="s">
        <v>1</v>
      </c>
      <c r="B441" s="1" t="s">
        <v>19</v>
      </c>
      <c r="C441" s="74" t="s">
        <v>53</v>
      </c>
      <c r="D441" s="74">
        <v>84</v>
      </c>
      <c r="E441" s="1" t="s">
        <v>73</v>
      </c>
      <c r="F441" s="1" t="s">
        <v>15</v>
      </c>
      <c r="G441" s="1">
        <v>42</v>
      </c>
      <c r="H441" s="1">
        <v>59</v>
      </c>
      <c r="I441" s="1">
        <v>59</v>
      </c>
    </row>
    <row r="442" spans="1:9" x14ac:dyDescent="0.25">
      <c r="A442" s="2" t="s">
        <v>1</v>
      </c>
      <c r="B442" s="1" t="s">
        <v>19</v>
      </c>
      <c r="C442" s="75" t="s">
        <v>6</v>
      </c>
      <c r="D442" s="75">
        <v>99</v>
      </c>
      <c r="E442" s="1" t="s">
        <v>7</v>
      </c>
      <c r="F442" s="1" t="s">
        <v>14</v>
      </c>
      <c r="G442" s="1">
        <v>59</v>
      </c>
      <c r="H442" s="1">
        <v>52</v>
      </c>
      <c r="I442" s="1">
        <v>56</v>
      </c>
    </row>
    <row r="443" spans="1:9" x14ac:dyDescent="0.25">
      <c r="A443" s="2" t="s">
        <v>1</v>
      </c>
      <c r="B443" s="1" t="s">
        <v>19</v>
      </c>
      <c r="C443" s="75" t="s">
        <v>6</v>
      </c>
      <c r="D443" s="75">
        <v>100</v>
      </c>
      <c r="E443" s="1" t="s">
        <v>7</v>
      </c>
      <c r="F443" s="1" t="s">
        <v>14</v>
      </c>
      <c r="G443" s="1">
        <v>90</v>
      </c>
      <c r="H443" s="1">
        <v>96</v>
      </c>
      <c r="I443" s="1">
        <v>88</v>
      </c>
    </row>
    <row r="444" spans="1:9" x14ac:dyDescent="0.25">
      <c r="A444" s="2" t="s">
        <v>1</v>
      </c>
      <c r="B444" s="1" t="s">
        <v>19</v>
      </c>
      <c r="C444" s="75" t="s">
        <v>6</v>
      </c>
      <c r="D444" s="75">
        <v>101</v>
      </c>
      <c r="E444" s="1" t="s">
        <v>7</v>
      </c>
      <c r="F444" s="1" t="s">
        <v>14</v>
      </c>
      <c r="G444" s="1">
        <v>61</v>
      </c>
      <c r="H444" s="1">
        <v>61</v>
      </c>
      <c r="I444" s="1">
        <v>57</v>
      </c>
    </row>
    <row r="445" spans="1:9" x14ac:dyDescent="0.25">
      <c r="A445" s="2" t="s">
        <v>1</v>
      </c>
      <c r="B445" s="1" t="s">
        <v>19</v>
      </c>
      <c r="C445" s="75" t="s">
        <v>6</v>
      </c>
      <c r="D445" s="75">
        <v>102</v>
      </c>
      <c r="E445" s="1" t="s">
        <v>7</v>
      </c>
      <c r="F445" s="1" t="s">
        <v>14</v>
      </c>
      <c r="G445" s="1">
        <v>86</v>
      </c>
      <c r="H445" s="1">
        <v>89</v>
      </c>
      <c r="I445" s="1">
        <v>87</v>
      </c>
    </row>
    <row r="446" spans="1:9" x14ac:dyDescent="0.25">
      <c r="A446" s="2" t="s">
        <v>1</v>
      </c>
      <c r="B446" s="1" t="s">
        <v>19</v>
      </c>
      <c r="C446" s="75" t="s">
        <v>6</v>
      </c>
      <c r="D446" s="75">
        <v>103</v>
      </c>
      <c r="E446" s="1" t="s">
        <v>7</v>
      </c>
      <c r="F446" s="1" t="s">
        <v>14</v>
      </c>
      <c r="G446" s="1">
        <v>71</v>
      </c>
      <c r="H446" s="1">
        <v>83</v>
      </c>
      <c r="I446" s="1">
        <v>79</v>
      </c>
    </row>
    <row r="447" spans="1:9" x14ac:dyDescent="0.25">
      <c r="A447" s="2" t="s">
        <v>1</v>
      </c>
      <c r="B447" s="1" t="s">
        <v>19</v>
      </c>
      <c r="C447" s="75" t="s">
        <v>6</v>
      </c>
      <c r="D447" s="75">
        <v>104</v>
      </c>
      <c r="E447" s="1" t="s">
        <v>7</v>
      </c>
      <c r="F447" s="1" t="s">
        <v>14</v>
      </c>
      <c r="G447" s="1">
        <v>85</v>
      </c>
      <c r="H447" s="1">
        <v>86</v>
      </c>
      <c r="I447" s="1">
        <v>88</v>
      </c>
    </row>
    <row r="448" spans="1:9" x14ac:dyDescent="0.25">
      <c r="A448" s="2" t="s">
        <v>1</v>
      </c>
      <c r="B448" s="1" t="s">
        <v>19</v>
      </c>
      <c r="C448" s="75" t="s">
        <v>6</v>
      </c>
      <c r="D448" s="75">
        <v>105</v>
      </c>
      <c r="E448" s="1" t="s">
        <v>7</v>
      </c>
      <c r="F448" s="1" t="s">
        <v>14</v>
      </c>
      <c r="G448" s="1">
        <v>54</v>
      </c>
      <c r="H448" s="1">
        <v>56</v>
      </c>
      <c r="I448" s="1">
        <v>56</v>
      </c>
    </row>
    <row r="449" spans="1:9" x14ac:dyDescent="0.25">
      <c r="A449" s="2" t="s">
        <v>1</v>
      </c>
      <c r="B449" s="1" t="s">
        <v>19</v>
      </c>
      <c r="C449" s="75" t="s">
        <v>6</v>
      </c>
      <c r="D449" s="75">
        <v>106</v>
      </c>
      <c r="E449" s="1" t="s">
        <v>7</v>
      </c>
      <c r="F449" s="1" t="s">
        <v>14</v>
      </c>
      <c r="G449" s="1">
        <v>92</v>
      </c>
      <c r="H449" s="1">
        <v>94</v>
      </c>
      <c r="I449" s="1">
        <v>94</v>
      </c>
    </row>
    <row r="450" spans="1:9" x14ac:dyDescent="0.25">
      <c r="A450" s="2" t="s">
        <v>1</v>
      </c>
      <c r="B450" s="1" t="s">
        <v>19</v>
      </c>
      <c r="C450" s="75" t="s">
        <v>6</v>
      </c>
      <c r="D450" s="75">
        <v>107</v>
      </c>
      <c r="E450" s="1" t="s">
        <v>7</v>
      </c>
      <c r="F450" s="1" t="s">
        <v>14</v>
      </c>
      <c r="G450" s="1">
        <v>79</v>
      </c>
      <c r="H450" s="1">
        <v>78</v>
      </c>
      <c r="I450" s="1">
        <v>83</v>
      </c>
    </row>
    <row r="451" spans="1:9" x14ac:dyDescent="0.25">
      <c r="A451" s="2" t="s">
        <v>1</v>
      </c>
      <c r="B451" s="1" t="s">
        <v>19</v>
      </c>
      <c r="C451" s="75" t="s">
        <v>6</v>
      </c>
      <c r="D451" s="75">
        <v>108</v>
      </c>
      <c r="E451" s="1" t="s">
        <v>73</v>
      </c>
      <c r="F451" s="1" t="s">
        <v>14</v>
      </c>
      <c r="G451" s="1">
        <v>74</v>
      </c>
      <c r="H451" s="1">
        <v>88</v>
      </c>
      <c r="I451" s="1">
        <v>75</v>
      </c>
    </row>
    <row r="452" spans="1:9" x14ac:dyDescent="0.25">
      <c r="A452" s="2" t="s">
        <v>1</v>
      </c>
      <c r="B452" s="1" t="s">
        <v>19</v>
      </c>
      <c r="C452" s="75" t="s">
        <v>6</v>
      </c>
      <c r="D452" s="75">
        <v>109</v>
      </c>
      <c r="E452" s="1" t="s">
        <v>73</v>
      </c>
      <c r="F452" s="1" t="s">
        <v>14</v>
      </c>
      <c r="G452" s="1">
        <v>62</v>
      </c>
      <c r="H452" s="1">
        <v>70</v>
      </c>
      <c r="I452" s="1">
        <v>64</v>
      </c>
    </row>
    <row r="453" spans="1:9" x14ac:dyDescent="0.25">
      <c r="A453" s="2" t="s">
        <v>1</v>
      </c>
      <c r="B453" s="1" t="s">
        <v>19</v>
      </c>
      <c r="C453" s="75" t="s">
        <v>6</v>
      </c>
      <c r="D453" s="75">
        <v>110</v>
      </c>
      <c r="E453" s="1" t="s">
        <v>73</v>
      </c>
      <c r="F453" s="1" t="s">
        <v>14</v>
      </c>
      <c r="G453" s="1">
        <v>85</v>
      </c>
      <c r="H453" s="1">
        <v>91</v>
      </c>
      <c r="I453" s="1">
        <v>88</v>
      </c>
    </row>
    <row r="454" spans="1:9" x14ac:dyDescent="0.25">
      <c r="A454" s="2" t="s">
        <v>1</v>
      </c>
      <c r="B454" s="1" t="s">
        <v>19</v>
      </c>
      <c r="C454" s="75" t="s">
        <v>6</v>
      </c>
      <c r="D454" s="75">
        <v>111</v>
      </c>
      <c r="E454" s="1" t="s">
        <v>73</v>
      </c>
      <c r="F454" s="1" t="s">
        <v>15</v>
      </c>
      <c r="G454" s="1">
        <v>65</v>
      </c>
      <c r="H454" s="1">
        <v>77</v>
      </c>
      <c r="I454" s="1">
        <v>74</v>
      </c>
    </row>
    <row r="455" spans="1:9" x14ac:dyDescent="0.25">
      <c r="A455" s="2" t="s">
        <v>1</v>
      </c>
      <c r="B455" s="1" t="s">
        <v>19</v>
      </c>
      <c r="C455" s="75" t="s">
        <v>6</v>
      </c>
      <c r="D455" s="75">
        <v>112</v>
      </c>
      <c r="E455" s="1" t="s">
        <v>73</v>
      </c>
      <c r="F455" s="1" t="s">
        <v>15</v>
      </c>
      <c r="G455" s="1">
        <v>59</v>
      </c>
      <c r="H455" s="1">
        <v>68</v>
      </c>
      <c r="I455" s="1">
        <v>68</v>
      </c>
    </row>
    <row r="456" spans="1:9" x14ac:dyDescent="0.25">
      <c r="A456" s="2" t="s">
        <v>1</v>
      </c>
      <c r="B456" s="1" t="s">
        <v>19</v>
      </c>
      <c r="C456" s="75" t="s">
        <v>6</v>
      </c>
      <c r="D456" s="75">
        <v>113</v>
      </c>
      <c r="E456" s="1" t="s">
        <v>73</v>
      </c>
      <c r="F456" s="1" t="s">
        <v>15</v>
      </c>
      <c r="G456" s="1">
        <v>68</v>
      </c>
      <c r="H456" s="1">
        <v>69</v>
      </c>
      <c r="I456" s="1">
        <v>71</v>
      </c>
    </row>
    <row r="457" spans="1:9" x14ac:dyDescent="0.25">
      <c r="A457" s="2" t="s">
        <v>1</v>
      </c>
      <c r="B457" s="1" t="s">
        <v>19</v>
      </c>
      <c r="C457" s="75" t="s">
        <v>6</v>
      </c>
      <c r="D457" s="75">
        <v>114</v>
      </c>
      <c r="E457" s="1" t="s">
        <v>73</v>
      </c>
      <c r="F457" s="1" t="s">
        <v>15</v>
      </c>
      <c r="G457" s="1">
        <v>66</v>
      </c>
      <c r="H457" s="1">
        <v>66</v>
      </c>
      <c r="I457" s="1">
        <v>75</v>
      </c>
    </row>
    <row r="458" spans="1:9" x14ac:dyDescent="0.25">
      <c r="A458" s="2" t="s">
        <v>1</v>
      </c>
      <c r="B458" s="1" t="s">
        <v>19</v>
      </c>
      <c r="C458" s="75" t="s">
        <v>6</v>
      </c>
      <c r="D458" s="75">
        <v>115</v>
      </c>
      <c r="E458" s="1" t="s">
        <v>73</v>
      </c>
      <c r="F458" s="1" t="s">
        <v>15</v>
      </c>
      <c r="G458" s="1">
        <v>70</v>
      </c>
      <c r="H458" s="1">
        <v>77</v>
      </c>
      <c r="I458" s="1">
        <v>86</v>
      </c>
    </row>
    <row r="459" spans="1:9" x14ac:dyDescent="0.25">
      <c r="A459" s="2" t="s">
        <v>1</v>
      </c>
      <c r="B459" s="1" t="s">
        <v>19</v>
      </c>
      <c r="C459" s="75" t="s">
        <v>6</v>
      </c>
      <c r="D459" s="75">
        <v>116</v>
      </c>
      <c r="E459" s="1" t="s">
        <v>73</v>
      </c>
      <c r="F459" s="1" t="s">
        <v>15</v>
      </c>
      <c r="G459" s="1">
        <v>80</v>
      </c>
      <c r="H459" s="1">
        <v>94</v>
      </c>
      <c r="I459" s="1">
        <v>97</v>
      </c>
    </row>
    <row r="460" spans="1:9" x14ac:dyDescent="0.25">
      <c r="A460" s="2" t="s">
        <v>1</v>
      </c>
      <c r="B460" s="1" t="s">
        <v>19</v>
      </c>
      <c r="C460" s="76" t="s">
        <v>54</v>
      </c>
      <c r="D460" s="76">
        <v>91</v>
      </c>
      <c r="E460" s="1" t="s">
        <v>7</v>
      </c>
      <c r="F460" s="1" t="s">
        <v>14</v>
      </c>
      <c r="G460" s="1">
        <v>82</v>
      </c>
      <c r="H460" s="1">
        <v>83</v>
      </c>
      <c r="I460" s="1">
        <v>80</v>
      </c>
    </row>
    <row r="461" spans="1:9" x14ac:dyDescent="0.25">
      <c r="A461" s="2" t="s">
        <v>1</v>
      </c>
      <c r="B461" s="1" t="s">
        <v>19</v>
      </c>
      <c r="C461" s="76" t="s">
        <v>54</v>
      </c>
      <c r="D461" s="76">
        <v>92</v>
      </c>
      <c r="E461" s="1" t="s">
        <v>7</v>
      </c>
      <c r="F461" s="1" t="s">
        <v>14</v>
      </c>
      <c r="G461" s="1">
        <v>80</v>
      </c>
      <c r="H461" s="1">
        <v>79</v>
      </c>
      <c r="I461" s="1">
        <v>71</v>
      </c>
    </row>
    <row r="462" spans="1:9" x14ac:dyDescent="0.25">
      <c r="A462" s="2" t="s">
        <v>1</v>
      </c>
      <c r="B462" s="1" t="s">
        <v>19</v>
      </c>
      <c r="C462" s="76" t="s">
        <v>54</v>
      </c>
      <c r="D462" s="76">
        <v>93</v>
      </c>
      <c r="E462" s="1" t="s">
        <v>7</v>
      </c>
      <c r="F462" s="1" t="s">
        <v>14</v>
      </c>
      <c r="G462" s="1">
        <v>75</v>
      </c>
      <c r="H462" s="1">
        <v>70</v>
      </c>
      <c r="I462" s="1">
        <v>71</v>
      </c>
    </row>
    <row r="463" spans="1:9" x14ac:dyDescent="0.25">
      <c r="A463" s="2" t="s">
        <v>1</v>
      </c>
      <c r="B463" s="1" t="s">
        <v>19</v>
      </c>
      <c r="C463" s="76" t="s">
        <v>54</v>
      </c>
      <c r="D463" s="76">
        <v>94</v>
      </c>
      <c r="E463" s="1" t="s">
        <v>7</v>
      </c>
      <c r="F463" s="1" t="s">
        <v>14</v>
      </c>
      <c r="G463" s="1">
        <v>96</v>
      </c>
      <c r="H463" s="1">
        <v>93</v>
      </c>
      <c r="I463" s="1">
        <v>100</v>
      </c>
    </row>
    <row r="464" spans="1:9" x14ac:dyDescent="0.25">
      <c r="A464" s="2" t="s">
        <v>1</v>
      </c>
      <c r="B464" s="1" t="s">
        <v>19</v>
      </c>
      <c r="C464" s="76" t="s">
        <v>54</v>
      </c>
      <c r="D464" s="76">
        <v>95</v>
      </c>
      <c r="E464" s="1" t="s">
        <v>7</v>
      </c>
      <c r="F464" s="1" t="s">
        <v>14</v>
      </c>
      <c r="G464" s="1">
        <v>92</v>
      </c>
      <c r="H464" s="1">
        <v>100</v>
      </c>
      <c r="I464" s="1">
        <v>99</v>
      </c>
    </row>
    <row r="465" spans="1:9" x14ac:dyDescent="0.25">
      <c r="A465" s="2" t="s">
        <v>1</v>
      </c>
      <c r="B465" s="1" t="s">
        <v>19</v>
      </c>
      <c r="C465" s="76" t="s">
        <v>54</v>
      </c>
      <c r="D465" s="76">
        <v>96</v>
      </c>
      <c r="E465" s="1" t="s">
        <v>7</v>
      </c>
      <c r="F465" s="1" t="s">
        <v>15</v>
      </c>
      <c r="G465" s="1">
        <v>86</v>
      </c>
      <c r="H465" s="1">
        <v>89</v>
      </c>
      <c r="I465" s="1">
        <v>96</v>
      </c>
    </row>
    <row r="466" spans="1:9" x14ac:dyDescent="0.25">
      <c r="A466" s="2" t="s">
        <v>1</v>
      </c>
      <c r="B466" s="1" t="s">
        <v>19</v>
      </c>
      <c r="C466" s="76" t="s">
        <v>54</v>
      </c>
      <c r="D466" s="76">
        <v>97</v>
      </c>
      <c r="E466" s="1" t="s">
        <v>73</v>
      </c>
      <c r="F466" s="1" t="s">
        <v>14</v>
      </c>
      <c r="G466" s="1">
        <v>80</v>
      </c>
      <c r="H466" s="1">
        <v>82</v>
      </c>
      <c r="I466" s="1">
        <v>85</v>
      </c>
    </row>
    <row r="467" spans="1:9" x14ac:dyDescent="0.25">
      <c r="A467" s="2" t="s">
        <v>1</v>
      </c>
      <c r="B467" s="1" t="s">
        <v>19</v>
      </c>
      <c r="C467" s="76" t="s">
        <v>54</v>
      </c>
      <c r="D467" s="76">
        <v>98</v>
      </c>
      <c r="E467" s="1" t="s">
        <v>73</v>
      </c>
      <c r="F467" s="1" t="s">
        <v>14</v>
      </c>
      <c r="G467" s="1">
        <v>80</v>
      </c>
      <c r="H467" s="1">
        <v>80</v>
      </c>
      <c r="I467" s="1">
        <v>83</v>
      </c>
    </row>
    <row r="468" spans="1:9" x14ac:dyDescent="0.25">
      <c r="A468" s="2" t="s">
        <v>1</v>
      </c>
      <c r="B468" s="1" t="s">
        <v>19</v>
      </c>
      <c r="C468" s="76" t="s">
        <v>54</v>
      </c>
      <c r="D468" s="76">
        <v>99</v>
      </c>
      <c r="E468" s="1" t="s">
        <v>73</v>
      </c>
      <c r="F468" s="1" t="s">
        <v>14</v>
      </c>
      <c r="G468" s="1">
        <v>60</v>
      </c>
      <c r="H468" s="1">
        <v>74</v>
      </c>
      <c r="I468" s="1">
        <v>68</v>
      </c>
    </row>
    <row r="469" spans="1:9" x14ac:dyDescent="0.25">
      <c r="A469" s="2" t="s">
        <v>1</v>
      </c>
      <c r="B469" s="1" t="s">
        <v>19</v>
      </c>
      <c r="C469" s="76" t="s">
        <v>54</v>
      </c>
      <c r="D469" s="76">
        <v>100</v>
      </c>
      <c r="E469" s="1" t="s">
        <v>73</v>
      </c>
      <c r="F469" s="1" t="s">
        <v>14</v>
      </c>
      <c r="G469" s="1">
        <v>83</v>
      </c>
      <c r="H469" s="1">
        <v>90</v>
      </c>
      <c r="I469" s="1">
        <v>95</v>
      </c>
    </row>
    <row r="470" spans="1:9" x14ac:dyDescent="0.25">
      <c r="A470" s="2" t="s">
        <v>1</v>
      </c>
      <c r="B470" s="1" t="s">
        <v>19</v>
      </c>
      <c r="C470" s="76" t="s">
        <v>54</v>
      </c>
      <c r="D470" s="76">
        <v>101</v>
      </c>
      <c r="E470" s="1" t="s">
        <v>73</v>
      </c>
      <c r="F470" s="1" t="s">
        <v>15</v>
      </c>
      <c r="G470" s="1">
        <v>83</v>
      </c>
      <c r="H470" s="1">
        <v>86</v>
      </c>
      <c r="I470" s="1">
        <v>91</v>
      </c>
    </row>
    <row r="471" spans="1:9" x14ac:dyDescent="0.25">
      <c r="A471" s="2" t="s">
        <v>1</v>
      </c>
      <c r="B471" s="1" t="s">
        <v>19</v>
      </c>
      <c r="C471" s="77" t="s">
        <v>42</v>
      </c>
      <c r="D471" s="77">
        <v>91</v>
      </c>
      <c r="E471" s="1" t="s">
        <v>7</v>
      </c>
      <c r="F471" s="1" t="s">
        <v>14</v>
      </c>
      <c r="G471" s="1">
        <v>83</v>
      </c>
      <c r="H471" s="1">
        <v>90</v>
      </c>
      <c r="I471" s="1">
        <v>88</v>
      </c>
    </row>
    <row r="472" spans="1:9" x14ac:dyDescent="0.25">
      <c r="A472" s="2" t="s">
        <v>1</v>
      </c>
      <c r="B472" s="1" t="s">
        <v>19</v>
      </c>
      <c r="C472" s="77" t="s">
        <v>42</v>
      </c>
      <c r="D472" s="77">
        <v>92</v>
      </c>
      <c r="E472" s="1" t="s">
        <v>7</v>
      </c>
      <c r="F472" s="1" t="s">
        <v>14</v>
      </c>
      <c r="G472" s="1">
        <v>74</v>
      </c>
      <c r="H472" s="1">
        <v>77</v>
      </c>
      <c r="I472" s="1">
        <v>73</v>
      </c>
    </row>
    <row r="473" spans="1:9" x14ac:dyDescent="0.25">
      <c r="A473" s="2" t="s">
        <v>1</v>
      </c>
      <c r="B473" s="1" t="s">
        <v>19</v>
      </c>
      <c r="C473" s="77" t="s">
        <v>42</v>
      </c>
      <c r="D473" s="77">
        <v>93</v>
      </c>
      <c r="E473" s="1" t="s">
        <v>7</v>
      </c>
      <c r="F473" s="1" t="s">
        <v>14</v>
      </c>
      <c r="G473" s="1">
        <v>89</v>
      </c>
      <c r="H473" s="1">
        <v>93</v>
      </c>
      <c r="I473" s="1">
        <v>98</v>
      </c>
    </row>
    <row r="474" spans="1:9" x14ac:dyDescent="0.25">
      <c r="A474" s="2" t="s">
        <v>1</v>
      </c>
      <c r="B474" s="1" t="s">
        <v>19</v>
      </c>
      <c r="C474" s="77" t="s">
        <v>42</v>
      </c>
      <c r="D474" s="77">
        <v>94</v>
      </c>
      <c r="E474" s="1" t="s">
        <v>7</v>
      </c>
      <c r="F474" s="1" t="s">
        <v>14</v>
      </c>
      <c r="G474" s="1">
        <v>62</v>
      </c>
      <c r="H474" s="1">
        <v>65</v>
      </c>
      <c r="I474" s="1">
        <v>65</v>
      </c>
    </row>
    <row r="475" spans="1:9" x14ac:dyDescent="0.25">
      <c r="A475" s="2" t="s">
        <v>1</v>
      </c>
      <c r="B475" s="1" t="s">
        <v>19</v>
      </c>
      <c r="C475" s="77" t="s">
        <v>42</v>
      </c>
      <c r="D475" s="77">
        <v>95</v>
      </c>
      <c r="E475" s="1" t="s">
        <v>7</v>
      </c>
      <c r="F475" s="1" t="s">
        <v>14</v>
      </c>
      <c r="G475" s="1">
        <v>64</v>
      </c>
      <c r="H475" s="1">
        <v>68</v>
      </c>
      <c r="I475" s="1">
        <v>60</v>
      </c>
    </row>
    <row r="476" spans="1:9" x14ac:dyDescent="0.25">
      <c r="A476" s="2" t="s">
        <v>1</v>
      </c>
      <c r="B476" s="1" t="s">
        <v>19</v>
      </c>
      <c r="C476" s="77" t="s">
        <v>42</v>
      </c>
      <c r="D476" s="77">
        <v>96</v>
      </c>
      <c r="E476" s="1" t="s">
        <v>7</v>
      </c>
      <c r="F476" s="1" t="s">
        <v>15</v>
      </c>
      <c r="G476" s="1">
        <v>89</v>
      </c>
      <c r="H476" s="1">
        <v>94</v>
      </c>
      <c r="I476" s="1">
        <v>94</v>
      </c>
    </row>
    <row r="477" spans="1:9" x14ac:dyDescent="0.25">
      <c r="A477" s="2" t="s">
        <v>1</v>
      </c>
      <c r="B477" s="1" t="s">
        <v>19</v>
      </c>
      <c r="C477" s="77" t="s">
        <v>42</v>
      </c>
      <c r="D477" s="77">
        <v>97</v>
      </c>
      <c r="E477" s="1" t="s">
        <v>7</v>
      </c>
      <c r="F477" s="1" t="s">
        <v>15</v>
      </c>
      <c r="G477" s="1">
        <v>86</v>
      </c>
      <c r="H477" s="1">
        <v>89</v>
      </c>
      <c r="I477" s="1">
        <v>89</v>
      </c>
    </row>
    <row r="478" spans="1:9" x14ac:dyDescent="0.25">
      <c r="A478" s="2" t="s">
        <v>1</v>
      </c>
      <c r="B478" s="1" t="s">
        <v>19</v>
      </c>
      <c r="C478" s="77" t="s">
        <v>42</v>
      </c>
      <c r="D478" s="77">
        <v>98</v>
      </c>
      <c r="E478" s="1" t="s">
        <v>7</v>
      </c>
      <c r="F478" s="1" t="s">
        <v>15</v>
      </c>
      <c r="G478" s="1">
        <v>78</v>
      </c>
      <c r="H478" s="1">
        <v>83</v>
      </c>
      <c r="I478" s="1">
        <v>76</v>
      </c>
    </row>
    <row r="479" spans="1:9" x14ac:dyDescent="0.25">
      <c r="A479" s="2" t="s">
        <v>1</v>
      </c>
      <c r="B479" s="1" t="s">
        <v>19</v>
      </c>
      <c r="C479" s="77" t="s">
        <v>42</v>
      </c>
      <c r="D479" s="77">
        <v>99</v>
      </c>
      <c r="E479" s="1" t="s">
        <v>7</v>
      </c>
      <c r="F479" s="1" t="s">
        <v>15</v>
      </c>
      <c r="G479" s="1">
        <v>96</v>
      </c>
      <c r="H479" s="1">
        <v>98</v>
      </c>
      <c r="I479" s="1">
        <v>100</v>
      </c>
    </row>
    <row r="480" spans="1:9" x14ac:dyDescent="0.25">
      <c r="A480" s="2" t="s">
        <v>1</v>
      </c>
      <c r="B480" s="1" t="s">
        <v>19</v>
      </c>
      <c r="C480" s="77" t="s">
        <v>42</v>
      </c>
      <c r="D480" s="77">
        <v>100</v>
      </c>
      <c r="E480" s="1" t="s">
        <v>7</v>
      </c>
      <c r="F480" s="1" t="s">
        <v>15</v>
      </c>
      <c r="G480" s="1">
        <v>82</v>
      </c>
      <c r="H480" s="1">
        <v>85</v>
      </c>
      <c r="I480" s="1">
        <v>91</v>
      </c>
    </row>
    <row r="481" spans="1:9" x14ac:dyDescent="0.25">
      <c r="A481" s="2" t="s">
        <v>1</v>
      </c>
      <c r="B481" s="1" t="s">
        <v>19</v>
      </c>
      <c r="C481" s="77" t="s">
        <v>42</v>
      </c>
      <c r="D481" s="77">
        <v>101</v>
      </c>
      <c r="E481" s="1" t="s">
        <v>7</v>
      </c>
      <c r="F481" s="1" t="s">
        <v>15</v>
      </c>
      <c r="G481" s="1">
        <v>68</v>
      </c>
      <c r="H481" s="1">
        <v>78</v>
      </c>
      <c r="I481" s="1">
        <v>77</v>
      </c>
    </row>
    <row r="482" spans="1:9" x14ac:dyDescent="0.25">
      <c r="A482" s="2" t="s">
        <v>1</v>
      </c>
      <c r="B482" s="1" t="s">
        <v>19</v>
      </c>
      <c r="C482" s="77" t="s">
        <v>42</v>
      </c>
      <c r="D482" s="77">
        <v>102</v>
      </c>
      <c r="E482" s="1" t="s">
        <v>73</v>
      </c>
      <c r="F482" s="1" t="s">
        <v>14</v>
      </c>
      <c r="G482" s="1">
        <v>69</v>
      </c>
      <c r="H482" s="1">
        <v>74</v>
      </c>
      <c r="I482" s="1">
        <v>75</v>
      </c>
    </row>
    <row r="483" spans="1:9" x14ac:dyDescent="0.25">
      <c r="A483" s="2" t="s">
        <v>1</v>
      </c>
      <c r="B483" s="1" t="s">
        <v>19</v>
      </c>
      <c r="C483" s="77" t="s">
        <v>42</v>
      </c>
      <c r="D483" s="77">
        <v>103</v>
      </c>
      <c r="E483" s="1" t="s">
        <v>73</v>
      </c>
      <c r="F483" s="1" t="s">
        <v>14</v>
      </c>
      <c r="G483" s="1">
        <v>41</v>
      </c>
      <c r="H483" s="1">
        <v>60</v>
      </c>
      <c r="I483" s="1">
        <v>55</v>
      </c>
    </row>
    <row r="484" spans="1:9" x14ac:dyDescent="0.25">
      <c r="A484" s="2" t="s">
        <v>1</v>
      </c>
      <c r="B484" s="1" t="s">
        <v>19</v>
      </c>
      <c r="C484" s="77" t="s">
        <v>42</v>
      </c>
      <c r="D484" s="77">
        <v>104</v>
      </c>
      <c r="E484" s="1" t="s">
        <v>73</v>
      </c>
      <c r="F484" s="1" t="s">
        <v>14</v>
      </c>
      <c r="G484" s="1">
        <v>74</v>
      </c>
      <c r="H484" s="1">
        <v>78</v>
      </c>
      <c r="I484" s="1">
        <v>81</v>
      </c>
    </row>
    <row r="485" spans="1:9" x14ac:dyDescent="0.25">
      <c r="A485" s="2" t="s">
        <v>1</v>
      </c>
      <c r="B485" s="1" t="s">
        <v>19</v>
      </c>
      <c r="C485" s="77" t="s">
        <v>42</v>
      </c>
      <c r="D485" s="77">
        <v>105</v>
      </c>
      <c r="E485" s="1" t="s">
        <v>73</v>
      </c>
      <c r="F485" s="1" t="s">
        <v>14</v>
      </c>
      <c r="G485" s="1">
        <v>84</v>
      </c>
      <c r="H485" s="1">
        <v>88</v>
      </c>
      <c r="I485" s="1">
        <v>82</v>
      </c>
    </row>
    <row r="486" spans="1:9" x14ac:dyDescent="0.25">
      <c r="A486" s="2" t="s">
        <v>1</v>
      </c>
      <c r="B486" s="1" t="s">
        <v>19</v>
      </c>
      <c r="C486" s="77" t="s">
        <v>42</v>
      </c>
      <c r="D486" s="77">
        <v>106</v>
      </c>
      <c r="E486" s="1" t="s">
        <v>73</v>
      </c>
      <c r="F486" s="1" t="s">
        <v>14</v>
      </c>
      <c r="G486" s="1">
        <v>76</v>
      </c>
      <c r="H486" s="1">
        <v>82</v>
      </c>
      <c r="I486" s="1">
        <v>81</v>
      </c>
    </row>
    <row r="487" spans="1:9" x14ac:dyDescent="0.25">
      <c r="A487" s="2" t="s">
        <v>1</v>
      </c>
      <c r="B487" s="1" t="s">
        <v>19</v>
      </c>
      <c r="C487" s="78" t="s">
        <v>52</v>
      </c>
      <c r="D487" s="78">
        <v>45</v>
      </c>
      <c r="E487" s="1" t="s">
        <v>7</v>
      </c>
      <c r="F487" s="1" t="s">
        <v>14</v>
      </c>
      <c r="G487" s="1">
        <v>98</v>
      </c>
      <c r="H487" s="1">
        <v>95</v>
      </c>
      <c r="I487" s="1">
        <v>100</v>
      </c>
    </row>
    <row r="488" spans="1:9" x14ac:dyDescent="0.25">
      <c r="A488" s="2" t="s">
        <v>1</v>
      </c>
      <c r="B488" s="1" t="s">
        <v>19</v>
      </c>
      <c r="C488" s="78" t="s">
        <v>52</v>
      </c>
      <c r="D488" s="78">
        <v>46</v>
      </c>
      <c r="E488" s="1" t="s">
        <v>7</v>
      </c>
      <c r="F488" s="1" t="s">
        <v>14</v>
      </c>
      <c r="G488" s="1">
        <v>52</v>
      </c>
      <c r="H488" s="1">
        <v>53</v>
      </c>
      <c r="I488" s="1">
        <v>55</v>
      </c>
    </row>
    <row r="489" spans="1:9" x14ac:dyDescent="0.25">
      <c r="A489" s="2" t="s">
        <v>1</v>
      </c>
      <c r="B489" s="1" t="s">
        <v>19</v>
      </c>
      <c r="C489" s="78" t="s">
        <v>52</v>
      </c>
      <c r="D489" s="78">
        <v>47</v>
      </c>
      <c r="E489" s="1" t="s">
        <v>7</v>
      </c>
      <c r="F489" s="1" t="s">
        <v>14</v>
      </c>
      <c r="G489" s="1">
        <v>66</v>
      </c>
      <c r="H489" s="1">
        <v>65</v>
      </c>
      <c r="I489" s="1">
        <v>76</v>
      </c>
    </row>
    <row r="490" spans="1:9" x14ac:dyDescent="0.25">
      <c r="A490" s="2" t="s">
        <v>1</v>
      </c>
      <c r="B490" s="1" t="s">
        <v>19</v>
      </c>
      <c r="C490" s="78" t="s">
        <v>52</v>
      </c>
      <c r="D490" s="78">
        <v>48</v>
      </c>
      <c r="E490" s="1" t="s">
        <v>7</v>
      </c>
      <c r="F490" s="1" t="s">
        <v>14</v>
      </c>
      <c r="G490" s="1">
        <v>86</v>
      </c>
      <c r="H490" s="1">
        <v>87</v>
      </c>
      <c r="I490" s="1">
        <v>90</v>
      </c>
    </row>
    <row r="491" spans="1:9" x14ac:dyDescent="0.25">
      <c r="A491" s="2" t="s">
        <v>1</v>
      </c>
      <c r="B491" s="1" t="s">
        <v>19</v>
      </c>
      <c r="C491" s="78" t="s">
        <v>52</v>
      </c>
      <c r="D491" s="78">
        <v>49</v>
      </c>
      <c r="E491" s="1" t="s">
        <v>7</v>
      </c>
      <c r="F491" s="1" t="s">
        <v>15</v>
      </c>
      <c r="G491" s="1">
        <v>98</v>
      </c>
      <c r="H491" s="1">
        <v>100</v>
      </c>
      <c r="I491" s="1">
        <v>99</v>
      </c>
    </row>
    <row r="492" spans="1:9" x14ac:dyDescent="0.25">
      <c r="A492" s="2" t="s">
        <v>1</v>
      </c>
      <c r="B492" s="1" t="s">
        <v>19</v>
      </c>
      <c r="C492" s="78" t="s">
        <v>52</v>
      </c>
      <c r="D492" s="78">
        <v>50</v>
      </c>
      <c r="E492" s="1" t="s">
        <v>7</v>
      </c>
      <c r="F492" s="1" t="s">
        <v>15</v>
      </c>
      <c r="G492" s="1">
        <v>92</v>
      </c>
      <c r="H492" s="1">
        <v>87</v>
      </c>
      <c r="I492" s="1">
        <v>92</v>
      </c>
    </row>
    <row r="493" spans="1:9" x14ac:dyDescent="0.25">
      <c r="A493" s="2" t="s">
        <v>1</v>
      </c>
      <c r="B493" s="1" t="s">
        <v>19</v>
      </c>
      <c r="C493" s="78" t="s">
        <v>52</v>
      </c>
      <c r="D493" s="78">
        <v>51</v>
      </c>
      <c r="E493" s="1" t="s">
        <v>73</v>
      </c>
      <c r="F493" s="1" t="s">
        <v>14</v>
      </c>
      <c r="G493" s="1">
        <v>63</v>
      </c>
      <c r="H493" s="1">
        <v>61</v>
      </c>
      <c r="I493" s="1">
        <v>64</v>
      </c>
    </row>
    <row r="494" spans="1:9" x14ac:dyDescent="0.25">
      <c r="A494" s="2" t="s">
        <v>1</v>
      </c>
      <c r="B494" s="1" t="s">
        <v>19</v>
      </c>
      <c r="C494" s="78" t="s">
        <v>52</v>
      </c>
      <c r="D494" s="78">
        <v>52</v>
      </c>
      <c r="E494" s="1" t="s">
        <v>73</v>
      </c>
      <c r="F494" s="1" t="s">
        <v>15</v>
      </c>
      <c r="G494" s="1">
        <v>68</v>
      </c>
      <c r="H494" s="1">
        <v>82</v>
      </c>
      <c r="I494" s="1">
        <v>86</v>
      </c>
    </row>
    <row r="495" spans="1:9" x14ac:dyDescent="0.25">
      <c r="A495" s="2" t="s">
        <v>1</v>
      </c>
      <c r="B495" s="1" t="s">
        <v>19</v>
      </c>
      <c r="C495" s="79" t="s">
        <v>59</v>
      </c>
      <c r="D495" s="79">
        <v>31</v>
      </c>
      <c r="E495" s="1" t="s">
        <v>7</v>
      </c>
      <c r="F495" s="1" t="s">
        <v>14</v>
      </c>
      <c r="G495" s="1">
        <v>85</v>
      </c>
      <c r="H495" s="1">
        <v>90</v>
      </c>
      <c r="I495" s="1">
        <v>88</v>
      </c>
    </row>
    <row r="496" spans="1:9" x14ac:dyDescent="0.25">
      <c r="A496" s="2" t="s">
        <v>1</v>
      </c>
      <c r="B496" s="1" t="s">
        <v>19</v>
      </c>
      <c r="C496" s="79" t="s">
        <v>59</v>
      </c>
      <c r="D496" s="79">
        <v>32</v>
      </c>
      <c r="E496" s="1" t="s">
        <v>7</v>
      </c>
      <c r="F496" s="1" t="s">
        <v>14</v>
      </c>
      <c r="G496" s="1">
        <v>76</v>
      </c>
      <c r="H496" s="1">
        <v>77</v>
      </c>
      <c r="I496" s="1">
        <v>77</v>
      </c>
    </row>
    <row r="497" spans="1:9" x14ac:dyDescent="0.25">
      <c r="A497" s="2" t="s">
        <v>1</v>
      </c>
      <c r="B497" s="1" t="s">
        <v>19</v>
      </c>
      <c r="C497" s="79" t="s">
        <v>59</v>
      </c>
      <c r="D497" s="79">
        <v>33</v>
      </c>
      <c r="E497" s="1" t="s">
        <v>73</v>
      </c>
      <c r="F497" s="1" t="s">
        <v>15</v>
      </c>
      <c r="G497" s="1">
        <v>74</v>
      </c>
      <c r="H497" s="1">
        <v>83</v>
      </c>
      <c r="I497" s="1">
        <v>84</v>
      </c>
    </row>
    <row r="498" spans="1:9" x14ac:dyDescent="0.25">
      <c r="A498" s="2" t="s">
        <v>2</v>
      </c>
      <c r="B498" s="1" t="s">
        <v>9</v>
      </c>
      <c r="C498" s="74" t="s">
        <v>53</v>
      </c>
      <c r="D498" s="74">
        <v>85</v>
      </c>
      <c r="E498" s="1" t="s">
        <v>7</v>
      </c>
      <c r="F498" s="1" t="s">
        <v>14</v>
      </c>
      <c r="G498" s="1">
        <v>83</v>
      </c>
      <c r="H498" s="1">
        <v>77</v>
      </c>
      <c r="I498" s="1">
        <v>77</v>
      </c>
    </row>
    <row r="499" spans="1:9" x14ac:dyDescent="0.25">
      <c r="A499" s="2" t="s">
        <v>2</v>
      </c>
      <c r="B499" s="1" t="s">
        <v>9</v>
      </c>
      <c r="C499" s="74" t="s">
        <v>53</v>
      </c>
      <c r="D499" s="74">
        <v>86</v>
      </c>
      <c r="E499" s="1" t="s">
        <v>7</v>
      </c>
      <c r="F499" s="1" t="s">
        <v>14</v>
      </c>
      <c r="G499" s="1">
        <v>62</v>
      </c>
      <c r="H499" s="1">
        <v>54</v>
      </c>
      <c r="I499" s="1">
        <v>52</v>
      </c>
    </row>
    <row r="500" spans="1:9" x14ac:dyDescent="0.25">
      <c r="A500" s="2" t="s">
        <v>2</v>
      </c>
      <c r="B500" s="1" t="s">
        <v>9</v>
      </c>
      <c r="C500" s="74" t="s">
        <v>53</v>
      </c>
      <c r="D500" s="74">
        <v>87</v>
      </c>
      <c r="E500" s="1" t="s">
        <v>7</v>
      </c>
      <c r="F500" s="1" t="s">
        <v>14</v>
      </c>
      <c r="G500" s="1">
        <v>59</v>
      </c>
      <c r="H500" s="1">
        <v>60</v>
      </c>
      <c r="I500" s="1">
        <v>50</v>
      </c>
    </row>
    <row r="501" spans="1:9" x14ac:dyDescent="0.25">
      <c r="A501" s="2" t="s">
        <v>2</v>
      </c>
      <c r="B501" s="1" t="s">
        <v>9</v>
      </c>
      <c r="C501" s="74" t="s">
        <v>53</v>
      </c>
      <c r="D501" s="74">
        <v>88</v>
      </c>
      <c r="E501" s="1" t="s">
        <v>7</v>
      </c>
      <c r="F501" s="1" t="s">
        <v>15</v>
      </c>
      <c r="G501" s="1">
        <v>79</v>
      </c>
      <c r="H501" s="1">
        <v>65</v>
      </c>
      <c r="I501" s="1">
        <v>65</v>
      </c>
    </row>
    <row r="502" spans="1:9" x14ac:dyDescent="0.25">
      <c r="A502" s="2" t="s">
        <v>2</v>
      </c>
      <c r="B502" s="1" t="s">
        <v>9</v>
      </c>
      <c r="C502" s="74" t="s">
        <v>53</v>
      </c>
      <c r="D502" s="74">
        <v>89</v>
      </c>
      <c r="E502" s="1" t="s">
        <v>7</v>
      </c>
      <c r="F502" s="1" t="s">
        <v>15</v>
      </c>
      <c r="G502" s="1">
        <v>56</v>
      </c>
      <c r="H502" s="1">
        <v>53</v>
      </c>
      <c r="I502" s="1">
        <v>53</v>
      </c>
    </row>
    <row r="503" spans="1:9" x14ac:dyDescent="0.25">
      <c r="A503" s="2" t="s">
        <v>2</v>
      </c>
      <c r="B503" s="1" t="s">
        <v>9</v>
      </c>
      <c r="C503" s="74" t="s">
        <v>53</v>
      </c>
      <c r="D503" s="74">
        <v>90</v>
      </c>
      <c r="E503" s="1" t="s">
        <v>7</v>
      </c>
      <c r="F503" s="1" t="s">
        <v>15</v>
      </c>
      <c r="G503" s="1">
        <v>67</v>
      </c>
      <c r="H503" s="1">
        <v>60</v>
      </c>
      <c r="I503" s="1">
        <v>69</v>
      </c>
    </row>
    <row r="504" spans="1:9" x14ac:dyDescent="0.25">
      <c r="A504" s="2" t="s">
        <v>2</v>
      </c>
      <c r="B504" s="1" t="s">
        <v>9</v>
      </c>
      <c r="C504" s="74" t="s">
        <v>53</v>
      </c>
      <c r="D504" s="74">
        <v>91</v>
      </c>
      <c r="E504" s="1" t="s">
        <v>73</v>
      </c>
      <c r="F504" s="1" t="s">
        <v>15</v>
      </c>
      <c r="G504" s="1">
        <v>59</v>
      </c>
      <c r="H504" s="1">
        <v>55</v>
      </c>
      <c r="I504" s="1">
        <v>58</v>
      </c>
    </row>
    <row r="505" spans="1:9" x14ac:dyDescent="0.25">
      <c r="A505" s="2" t="s">
        <v>2</v>
      </c>
      <c r="B505" s="1" t="s">
        <v>9</v>
      </c>
      <c r="C505" s="75" t="s">
        <v>6</v>
      </c>
      <c r="D505" s="75">
        <v>117</v>
      </c>
      <c r="E505" s="1" t="s">
        <v>7</v>
      </c>
      <c r="F505" s="1" t="s">
        <v>14</v>
      </c>
      <c r="G505" s="1">
        <v>78</v>
      </c>
      <c r="H505" s="1">
        <v>72</v>
      </c>
      <c r="I505" s="1">
        <v>66</v>
      </c>
    </row>
    <row r="506" spans="1:9" x14ac:dyDescent="0.25">
      <c r="A506" s="2" t="s">
        <v>2</v>
      </c>
      <c r="B506" s="1" t="s">
        <v>9</v>
      </c>
      <c r="C506" s="75" t="s">
        <v>6</v>
      </c>
      <c r="D506" s="75">
        <v>118</v>
      </c>
      <c r="E506" s="1" t="s">
        <v>7</v>
      </c>
      <c r="F506" s="1" t="s">
        <v>14</v>
      </c>
      <c r="G506" s="1">
        <v>56</v>
      </c>
      <c r="H506" s="1">
        <v>45</v>
      </c>
      <c r="I506" s="1">
        <v>38</v>
      </c>
    </row>
    <row r="507" spans="1:9" x14ac:dyDescent="0.25">
      <c r="A507" s="2" t="s">
        <v>2</v>
      </c>
      <c r="B507" s="1" t="s">
        <v>9</v>
      </c>
      <c r="C507" s="75" t="s">
        <v>6</v>
      </c>
      <c r="D507" s="75">
        <v>119</v>
      </c>
      <c r="E507" s="1" t="s">
        <v>7</v>
      </c>
      <c r="F507" s="1" t="s">
        <v>15</v>
      </c>
      <c r="G507" s="1">
        <v>78</v>
      </c>
      <c r="H507" s="1">
        <v>88</v>
      </c>
      <c r="I507" s="1">
        <v>85</v>
      </c>
    </row>
    <row r="508" spans="1:9" x14ac:dyDescent="0.25">
      <c r="A508" s="2" t="s">
        <v>2</v>
      </c>
      <c r="B508" s="1" t="s">
        <v>9</v>
      </c>
      <c r="C508" s="75" t="s">
        <v>6</v>
      </c>
      <c r="D508" s="75">
        <v>120</v>
      </c>
      <c r="E508" s="1" t="s">
        <v>7</v>
      </c>
      <c r="F508" s="1" t="s">
        <v>15</v>
      </c>
      <c r="G508" s="1">
        <v>80</v>
      </c>
      <c r="H508" s="1">
        <v>72</v>
      </c>
      <c r="I508" s="1">
        <v>72</v>
      </c>
    </row>
    <row r="509" spans="1:9" x14ac:dyDescent="0.25">
      <c r="A509" s="2" t="s">
        <v>2</v>
      </c>
      <c r="B509" s="1" t="s">
        <v>9</v>
      </c>
      <c r="C509" s="75" t="s">
        <v>6</v>
      </c>
      <c r="D509" s="75">
        <v>121</v>
      </c>
      <c r="E509" s="1" t="s">
        <v>7</v>
      </c>
      <c r="F509" s="1" t="s">
        <v>15</v>
      </c>
      <c r="G509" s="1">
        <v>83</v>
      </c>
      <c r="H509" s="1">
        <v>71</v>
      </c>
      <c r="I509" s="1">
        <v>69</v>
      </c>
    </row>
    <row r="510" spans="1:9" x14ac:dyDescent="0.25">
      <c r="A510" s="2" t="s">
        <v>2</v>
      </c>
      <c r="B510" s="1" t="s">
        <v>9</v>
      </c>
      <c r="C510" s="75" t="s">
        <v>6</v>
      </c>
      <c r="D510" s="75">
        <v>122</v>
      </c>
      <c r="E510" s="1" t="s">
        <v>73</v>
      </c>
      <c r="F510" s="1" t="s">
        <v>14</v>
      </c>
      <c r="G510" s="1">
        <v>44</v>
      </c>
      <c r="H510" s="1">
        <v>49</v>
      </c>
      <c r="I510" s="1">
        <v>43</v>
      </c>
    </row>
    <row r="511" spans="1:9" x14ac:dyDescent="0.25">
      <c r="A511" s="2" t="s">
        <v>2</v>
      </c>
      <c r="B511" s="1" t="s">
        <v>9</v>
      </c>
      <c r="C511" s="75" t="s">
        <v>6</v>
      </c>
      <c r="D511" s="75">
        <v>123</v>
      </c>
      <c r="E511" s="1" t="s">
        <v>73</v>
      </c>
      <c r="F511" s="1" t="s">
        <v>14</v>
      </c>
      <c r="G511" s="1">
        <v>70</v>
      </c>
      <c r="H511" s="1">
        <v>74</v>
      </c>
      <c r="I511" s="1">
        <v>65</v>
      </c>
    </row>
    <row r="512" spans="1:9" x14ac:dyDescent="0.25">
      <c r="A512" s="2" t="s">
        <v>2</v>
      </c>
      <c r="B512" s="1" t="s">
        <v>9</v>
      </c>
      <c r="C512" s="76" t="s">
        <v>54</v>
      </c>
      <c r="D512" s="76">
        <v>102</v>
      </c>
      <c r="E512" s="1" t="s">
        <v>7</v>
      </c>
      <c r="F512" s="1" t="s">
        <v>14</v>
      </c>
      <c r="G512" s="1">
        <v>37</v>
      </c>
      <c r="H512" s="1">
        <v>40</v>
      </c>
      <c r="I512" s="1">
        <v>36</v>
      </c>
    </row>
    <row r="513" spans="1:9" x14ac:dyDescent="0.25">
      <c r="A513" s="2" t="s">
        <v>2</v>
      </c>
      <c r="B513" s="1" t="s">
        <v>9</v>
      </c>
      <c r="C513" s="76" t="s">
        <v>54</v>
      </c>
      <c r="D513" s="76">
        <v>103</v>
      </c>
      <c r="E513" s="1" t="s">
        <v>7</v>
      </c>
      <c r="F513" s="1" t="s">
        <v>14</v>
      </c>
      <c r="G513" s="1">
        <v>60</v>
      </c>
      <c r="H513" s="1">
        <v>56</v>
      </c>
      <c r="I513" s="1">
        <v>57</v>
      </c>
    </row>
    <row r="514" spans="1:9" x14ac:dyDescent="0.25">
      <c r="A514" s="2" t="s">
        <v>2</v>
      </c>
      <c r="B514" s="1" t="s">
        <v>9</v>
      </c>
      <c r="C514" s="76" t="s">
        <v>54</v>
      </c>
      <c r="D514" s="76">
        <v>104</v>
      </c>
      <c r="E514" s="1" t="s">
        <v>7</v>
      </c>
      <c r="F514" s="1" t="s">
        <v>14</v>
      </c>
      <c r="G514" s="1">
        <v>83</v>
      </c>
      <c r="H514" s="1">
        <v>83</v>
      </c>
      <c r="I514" s="1">
        <v>70</v>
      </c>
    </row>
    <row r="515" spans="1:9" x14ac:dyDescent="0.25">
      <c r="A515" s="2" t="s">
        <v>2</v>
      </c>
      <c r="B515" s="1" t="s">
        <v>9</v>
      </c>
      <c r="C515" s="76" t="s">
        <v>54</v>
      </c>
      <c r="D515" s="76">
        <v>105</v>
      </c>
      <c r="E515" s="1" t="s">
        <v>7</v>
      </c>
      <c r="F515" s="1" t="s">
        <v>15</v>
      </c>
      <c r="G515" s="1">
        <v>96</v>
      </c>
      <c r="H515" s="1">
        <v>82</v>
      </c>
      <c r="I515" s="1">
        <v>90</v>
      </c>
    </row>
    <row r="516" spans="1:9" x14ac:dyDescent="0.25">
      <c r="A516" s="2" t="s">
        <v>2</v>
      </c>
      <c r="B516" s="1" t="s">
        <v>9</v>
      </c>
      <c r="C516" s="76" t="s">
        <v>54</v>
      </c>
      <c r="D516" s="76">
        <v>106</v>
      </c>
      <c r="E516" s="1" t="s">
        <v>7</v>
      </c>
      <c r="F516" s="1" t="s">
        <v>15</v>
      </c>
      <c r="G516" s="1">
        <v>85</v>
      </c>
      <c r="H516" s="1">
        <v>75</v>
      </c>
      <c r="I516" s="1">
        <v>74</v>
      </c>
    </row>
    <row r="517" spans="1:9" x14ac:dyDescent="0.25">
      <c r="A517" s="2" t="s">
        <v>2</v>
      </c>
      <c r="B517" s="1" t="s">
        <v>9</v>
      </c>
      <c r="C517" s="76" t="s">
        <v>54</v>
      </c>
      <c r="D517" s="76">
        <v>107</v>
      </c>
      <c r="E517" s="1" t="s">
        <v>7</v>
      </c>
      <c r="F517" s="1" t="s">
        <v>15</v>
      </c>
      <c r="G517" s="1">
        <v>79</v>
      </c>
      <c r="H517" s="1">
        <v>65</v>
      </c>
      <c r="I517" s="1">
        <v>69</v>
      </c>
    </row>
    <row r="518" spans="1:9" x14ac:dyDescent="0.25">
      <c r="A518" s="2" t="s">
        <v>2</v>
      </c>
      <c r="B518" s="1" t="s">
        <v>9</v>
      </c>
      <c r="C518" s="76" t="s">
        <v>54</v>
      </c>
      <c r="D518" s="76">
        <v>108</v>
      </c>
      <c r="E518" s="1" t="s">
        <v>7</v>
      </c>
      <c r="F518" s="1" t="s">
        <v>15</v>
      </c>
      <c r="G518" s="1">
        <v>55</v>
      </c>
      <c r="H518" s="1">
        <v>62</v>
      </c>
      <c r="I518" s="1">
        <v>58</v>
      </c>
    </row>
    <row r="519" spans="1:9" x14ac:dyDescent="0.25">
      <c r="A519" s="2" t="s">
        <v>2</v>
      </c>
      <c r="B519" s="1" t="s">
        <v>9</v>
      </c>
      <c r="C519" s="76" t="s">
        <v>54</v>
      </c>
      <c r="D519" s="76">
        <v>109</v>
      </c>
      <c r="E519" s="1" t="s">
        <v>73</v>
      </c>
      <c r="F519" s="1" t="s">
        <v>15</v>
      </c>
      <c r="G519" s="1">
        <v>56</v>
      </c>
      <c r="H519" s="1">
        <v>60</v>
      </c>
      <c r="I519" s="1">
        <v>63</v>
      </c>
    </row>
    <row r="520" spans="1:9" x14ac:dyDescent="0.25">
      <c r="A520" s="2" t="s">
        <v>2</v>
      </c>
      <c r="B520" s="1" t="s">
        <v>9</v>
      </c>
      <c r="C520" s="76" t="s">
        <v>54</v>
      </c>
      <c r="D520" s="76">
        <v>110</v>
      </c>
      <c r="E520" s="1" t="s">
        <v>73</v>
      </c>
      <c r="F520" s="1" t="s">
        <v>15</v>
      </c>
      <c r="G520" s="1">
        <v>68</v>
      </c>
      <c r="H520" s="1">
        <v>71</v>
      </c>
      <c r="I520" s="1">
        <v>64</v>
      </c>
    </row>
    <row r="521" spans="1:9" x14ac:dyDescent="0.25">
      <c r="A521" s="2" t="s">
        <v>2</v>
      </c>
      <c r="B521" s="1" t="s">
        <v>9</v>
      </c>
      <c r="C521" s="76" t="s">
        <v>54</v>
      </c>
      <c r="D521" s="76">
        <v>111</v>
      </c>
      <c r="E521" s="1" t="s">
        <v>73</v>
      </c>
      <c r="F521" s="1" t="s">
        <v>15</v>
      </c>
      <c r="G521" s="1">
        <v>69</v>
      </c>
      <c r="H521" s="1">
        <v>77</v>
      </c>
      <c r="I521" s="1">
        <v>77</v>
      </c>
    </row>
    <row r="522" spans="1:9" x14ac:dyDescent="0.25">
      <c r="A522" s="2" t="s">
        <v>2</v>
      </c>
      <c r="B522" s="1" t="s">
        <v>9</v>
      </c>
      <c r="C522" s="76" t="s">
        <v>54</v>
      </c>
      <c r="D522" s="76">
        <v>112</v>
      </c>
      <c r="E522" s="1" t="s">
        <v>73</v>
      </c>
      <c r="F522" s="1" t="s">
        <v>15</v>
      </c>
      <c r="G522" s="1">
        <v>63</v>
      </c>
      <c r="H522" s="1">
        <v>61</v>
      </c>
      <c r="I522" s="1">
        <v>64</v>
      </c>
    </row>
    <row r="523" spans="1:9" x14ac:dyDescent="0.25">
      <c r="A523" s="2" t="s">
        <v>2</v>
      </c>
      <c r="B523" s="1" t="s">
        <v>9</v>
      </c>
      <c r="C523" s="76" t="s">
        <v>54</v>
      </c>
      <c r="D523" s="76">
        <v>113</v>
      </c>
      <c r="E523" s="1" t="s">
        <v>73</v>
      </c>
      <c r="F523" s="1" t="s">
        <v>15</v>
      </c>
      <c r="G523" s="1">
        <v>75</v>
      </c>
      <c r="H523" s="1">
        <v>67</v>
      </c>
      <c r="I523" s="1">
        <v>67</v>
      </c>
    </row>
    <row r="524" spans="1:9" x14ac:dyDescent="0.25">
      <c r="A524" s="2" t="s">
        <v>2</v>
      </c>
      <c r="B524" s="1" t="s">
        <v>9</v>
      </c>
      <c r="C524" s="77" t="s">
        <v>42</v>
      </c>
      <c r="D524" s="77">
        <v>107</v>
      </c>
      <c r="E524" s="1" t="s">
        <v>7</v>
      </c>
      <c r="F524" s="1" t="s">
        <v>14</v>
      </c>
      <c r="G524" s="1">
        <v>70</v>
      </c>
      <c r="H524" s="1">
        <v>73</v>
      </c>
      <c r="I524" s="1">
        <v>70</v>
      </c>
    </row>
    <row r="525" spans="1:9" x14ac:dyDescent="0.25">
      <c r="A525" s="2" t="s">
        <v>2</v>
      </c>
      <c r="B525" s="1" t="s">
        <v>9</v>
      </c>
      <c r="C525" s="77" t="s">
        <v>42</v>
      </c>
      <c r="D525" s="77">
        <v>108</v>
      </c>
      <c r="E525" s="1" t="s">
        <v>7</v>
      </c>
      <c r="F525" s="1" t="s">
        <v>14</v>
      </c>
      <c r="G525" s="1">
        <v>62</v>
      </c>
      <c r="H525" s="1">
        <v>58</v>
      </c>
      <c r="I525" s="1">
        <v>57</v>
      </c>
    </row>
    <row r="526" spans="1:9" x14ac:dyDescent="0.25">
      <c r="A526" s="2" t="s">
        <v>2</v>
      </c>
      <c r="B526" s="1" t="s">
        <v>9</v>
      </c>
      <c r="C526" s="77" t="s">
        <v>42</v>
      </c>
      <c r="D526" s="77">
        <v>109</v>
      </c>
      <c r="E526" s="1" t="s">
        <v>7</v>
      </c>
      <c r="F526" s="1" t="s">
        <v>14</v>
      </c>
      <c r="G526" s="1">
        <v>77</v>
      </c>
      <c r="H526" s="1">
        <v>73</v>
      </c>
      <c r="I526" s="1">
        <v>69</v>
      </c>
    </row>
    <row r="527" spans="1:9" x14ac:dyDescent="0.25">
      <c r="A527" s="2" t="s">
        <v>2</v>
      </c>
      <c r="B527" s="1" t="s">
        <v>9</v>
      </c>
      <c r="C527" s="77" t="s">
        <v>42</v>
      </c>
      <c r="D527" s="77">
        <v>110</v>
      </c>
      <c r="E527" s="1" t="s">
        <v>7</v>
      </c>
      <c r="F527" s="1" t="s">
        <v>14</v>
      </c>
      <c r="G527" s="1">
        <v>72</v>
      </c>
      <c r="H527" s="1">
        <v>77</v>
      </c>
      <c r="I527" s="1">
        <v>67</v>
      </c>
    </row>
    <row r="528" spans="1:9" x14ac:dyDescent="0.25">
      <c r="A528" s="2" t="s">
        <v>2</v>
      </c>
      <c r="B528" s="1" t="s">
        <v>9</v>
      </c>
      <c r="C528" s="77" t="s">
        <v>42</v>
      </c>
      <c r="D528" s="77">
        <v>111</v>
      </c>
      <c r="E528" s="1" t="s">
        <v>7</v>
      </c>
      <c r="F528" s="1" t="s">
        <v>14</v>
      </c>
      <c r="G528" s="1">
        <v>58</v>
      </c>
      <c r="H528" s="1">
        <v>64</v>
      </c>
      <c r="I528" s="1">
        <v>55</v>
      </c>
    </row>
    <row r="529" spans="1:9" x14ac:dyDescent="0.25">
      <c r="A529" s="2" t="s">
        <v>2</v>
      </c>
      <c r="B529" s="1" t="s">
        <v>9</v>
      </c>
      <c r="C529" s="77" t="s">
        <v>42</v>
      </c>
      <c r="D529" s="77">
        <v>112</v>
      </c>
      <c r="E529" s="1" t="s">
        <v>7</v>
      </c>
      <c r="F529" s="1" t="s">
        <v>14</v>
      </c>
      <c r="G529" s="1">
        <v>82</v>
      </c>
      <c r="H529" s="1">
        <v>68</v>
      </c>
      <c r="I529" s="1">
        <v>63</v>
      </c>
    </row>
    <row r="530" spans="1:9" x14ac:dyDescent="0.25">
      <c r="A530" s="2" t="s">
        <v>2</v>
      </c>
      <c r="B530" s="1" t="s">
        <v>9</v>
      </c>
      <c r="C530" s="77" t="s">
        <v>42</v>
      </c>
      <c r="D530" s="77">
        <v>113</v>
      </c>
      <c r="E530" s="1" t="s">
        <v>7</v>
      </c>
      <c r="F530" s="1" t="s">
        <v>15</v>
      </c>
      <c r="G530" s="1">
        <v>92</v>
      </c>
      <c r="H530" s="1">
        <v>86</v>
      </c>
      <c r="I530" s="1">
        <v>88</v>
      </c>
    </row>
    <row r="531" spans="1:9" x14ac:dyDescent="0.25">
      <c r="A531" s="2" t="s">
        <v>2</v>
      </c>
      <c r="B531" s="1" t="s">
        <v>9</v>
      </c>
      <c r="C531" s="77" t="s">
        <v>42</v>
      </c>
      <c r="D531" s="77">
        <v>114</v>
      </c>
      <c r="E531" s="1" t="s">
        <v>7</v>
      </c>
      <c r="F531" s="1" t="s">
        <v>15</v>
      </c>
      <c r="G531" s="1">
        <v>56</v>
      </c>
      <c r="H531" s="1">
        <v>51</v>
      </c>
      <c r="I531" s="1">
        <v>44</v>
      </c>
    </row>
    <row r="532" spans="1:9" x14ac:dyDescent="0.25">
      <c r="A532" s="2" t="s">
        <v>2</v>
      </c>
      <c r="B532" s="1" t="s">
        <v>9</v>
      </c>
      <c r="C532" s="77" t="s">
        <v>42</v>
      </c>
      <c r="D532" s="77">
        <v>115</v>
      </c>
      <c r="E532" s="1" t="s">
        <v>73</v>
      </c>
      <c r="F532" s="1" t="s">
        <v>14</v>
      </c>
      <c r="G532" s="1">
        <v>43</v>
      </c>
      <c r="H532" s="1">
        <v>43</v>
      </c>
      <c r="I532" s="1">
        <v>40</v>
      </c>
    </row>
    <row r="533" spans="1:9" x14ac:dyDescent="0.25">
      <c r="A533" s="2" t="s">
        <v>2</v>
      </c>
      <c r="B533" s="1" t="s">
        <v>9</v>
      </c>
      <c r="C533" s="77" t="s">
        <v>42</v>
      </c>
      <c r="D533" s="77">
        <v>116</v>
      </c>
      <c r="E533" s="1" t="s">
        <v>73</v>
      </c>
      <c r="F533" s="1" t="s">
        <v>15</v>
      </c>
      <c r="G533" s="1">
        <v>74</v>
      </c>
      <c r="H533" s="1">
        <v>75</v>
      </c>
      <c r="I533" s="1">
        <v>78</v>
      </c>
    </row>
    <row r="534" spans="1:9" x14ac:dyDescent="0.25">
      <c r="A534" s="2" t="s">
        <v>2</v>
      </c>
      <c r="B534" s="1" t="s">
        <v>9</v>
      </c>
      <c r="C534" s="79" t="s">
        <v>59</v>
      </c>
      <c r="D534" s="79">
        <v>34</v>
      </c>
      <c r="E534" s="1" t="s">
        <v>7</v>
      </c>
      <c r="F534" s="1" t="s">
        <v>14</v>
      </c>
      <c r="G534" s="1">
        <v>59</v>
      </c>
      <c r="H534" s="1">
        <v>57</v>
      </c>
      <c r="I534" s="1">
        <v>51</v>
      </c>
    </row>
    <row r="535" spans="1:9" x14ac:dyDescent="0.25">
      <c r="A535" s="2" t="s">
        <v>2</v>
      </c>
      <c r="B535" s="1" t="s">
        <v>9</v>
      </c>
      <c r="C535" s="79" t="s">
        <v>59</v>
      </c>
      <c r="D535" s="79">
        <v>35</v>
      </c>
      <c r="E535" s="1" t="s">
        <v>73</v>
      </c>
      <c r="F535" s="1" t="s">
        <v>14</v>
      </c>
      <c r="G535" s="1">
        <v>84</v>
      </c>
      <c r="H535" s="1">
        <v>85</v>
      </c>
      <c r="I535" s="1">
        <v>87</v>
      </c>
    </row>
    <row r="536" spans="1:9" x14ac:dyDescent="0.25">
      <c r="A536" s="2" t="s">
        <v>2</v>
      </c>
      <c r="B536" s="1" t="s">
        <v>10</v>
      </c>
      <c r="C536" s="74" t="s">
        <v>53</v>
      </c>
      <c r="D536" s="74">
        <v>92</v>
      </c>
      <c r="E536" s="1" t="s">
        <v>7</v>
      </c>
      <c r="F536" s="1" t="s">
        <v>14</v>
      </c>
      <c r="G536" s="1">
        <v>74</v>
      </c>
      <c r="H536" s="1">
        <v>69</v>
      </c>
      <c r="I536" s="1">
        <v>69</v>
      </c>
    </row>
    <row r="537" spans="1:9" x14ac:dyDescent="0.25">
      <c r="A537" s="2" t="s">
        <v>2</v>
      </c>
      <c r="B537" s="1" t="s">
        <v>10</v>
      </c>
      <c r="C537" s="74" t="s">
        <v>53</v>
      </c>
      <c r="D537" s="74">
        <v>93</v>
      </c>
      <c r="E537" s="1" t="s">
        <v>7</v>
      </c>
      <c r="F537" s="1" t="s">
        <v>14</v>
      </c>
      <c r="G537" s="1">
        <v>71</v>
      </c>
      <c r="H537" s="1">
        <v>63</v>
      </c>
      <c r="I537" s="1">
        <v>55</v>
      </c>
    </row>
    <row r="538" spans="1:9" x14ac:dyDescent="0.25">
      <c r="A538" s="2" t="s">
        <v>2</v>
      </c>
      <c r="B538" s="1" t="s">
        <v>10</v>
      </c>
      <c r="C538" s="74" t="s">
        <v>53</v>
      </c>
      <c r="D538" s="74">
        <v>94</v>
      </c>
      <c r="E538" s="1" t="s">
        <v>7</v>
      </c>
      <c r="F538" s="1" t="s">
        <v>14</v>
      </c>
      <c r="G538" s="1">
        <v>63</v>
      </c>
      <c r="H538" s="1">
        <v>56</v>
      </c>
      <c r="I538" s="1">
        <v>47</v>
      </c>
    </row>
    <row r="539" spans="1:9" x14ac:dyDescent="0.25">
      <c r="A539" s="2" t="s">
        <v>2</v>
      </c>
      <c r="B539" s="1" t="s">
        <v>10</v>
      </c>
      <c r="C539" s="74" t="s">
        <v>53</v>
      </c>
      <c r="D539" s="74">
        <v>95</v>
      </c>
      <c r="E539" s="1" t="s">
        <v>7</v>
      </c>
      <c r="F539" s="1" t="s">
        <v>14</v>
      </c>
      <c r="G539" s="1">
        <v>49</v>
      </c>
      <c r="H539" s="1">
        <v>39</v>
      </c>
      <c r="I539" s="1">
        <v>33</v>
      </c>
    </row>
    <row r="540" spans="1:9" x14ac:dyDescent="0.25">
      <c r="A540" s="2" t="s">
        <v>2</v>
      </c>
      <c r="B540" s="1" t="s">
        <v>10</v>
      </c>
      <c r="C540" s="74" t="s">
        <v>53</v>
      </c>
      <c r="D540" s="74">
        <v>96</v>
      </c>
      <c r="E540" s="1" t="s">
        <v>7</v>
      </c>
      <c r="F540" s="1" t="s">
        <v>14</v>
      </c>
      <c r="G540" s="1">
        <v>55</v>
      </c>
      <c r="H540" s="1">
        <v>49</v>
      </c>
      <c r="I540" s="1">
        <v>44</v>
      </c>
    </row>
    <row r="541" spans="1:9" x14ac:dyDescent="0.25">
      <c r="A541" s="2" t="s">
        <v>2</v>
      </c>
      <c r="B541" s="1" t="s">
        <v>10</v>
      </c>
      <c r="C541" s="74" t="s">
        <v>53</v>
      </c>
      <c r="D541" s="74">
        <v>97</v>
      </c>
      <c r="E541" s="1" t="s">
        <v>7</v>
      </c>
      <c r="F541" s="1" t="s">
        <v>14</v>
      </c>
      <c r="G541" s="1">
        <v>79</v>
      </c>
      <c r="H541" s="1">
        <v>69</v>
      </c>
      <c r="I541" s="1">
        <v>70</v>
      </c>
    </row>
    <row r="542" spans="1:9" x14ac:dyDescent="0.25">
      <c r="A542" s="2" t="s">
        <v>2</v>
      </c>
      <c r="B542" s="1" t="s">
        <v>10</v>
      </c>
      <c r="C542" s="74" t="s">
        <v>53</v>
      </c>
      <c r="D542" s="74">
        <v>98</v>
      </c>
      <c r="E542" s="1" t="s">
        <v>7</v>
      </c>
      <c r="F542" s="1" t="s">
        <v>15</v>
      </c>
      <c r="G542" s="1">
        <v>45</v>
      </c>
      <c r="H542" s="1">
        <v>50</v>
      </c>
      <c r="I542" s="1">
        <v>48</v>
      </c>
    </row>
    <row r="543" spans="1:9" x14ac:dyDescent="0.25">
      <c r="A543" s="2" t="s">
        <v>2</v>
      </c>
      <c r="B543" s="1" t="s">
        <v>10</v>
      </c>
      <c r="C543" s="74" t="s">
        <v>53</v>
      </c>
      <c r="D543" s="74">
        <v>99</v>
      </c>
      <c r="E543" s="1" t="s">
        <v>7</v>
      </c>
      <c r="F543" s="1" t="s">
        <v>15</v>
      </c>
      <c r="G543" s="1">
        <v>72</v>
      </c>
      <c r="H543" s="1">
        <v>62</v>
      </c>
      <c r="I543" s="1">
        <v>62</v>
      </c>
    </row>
    <row r="544" spans="1:9" x14ac:dyDescent="0.25">
      <c r="A544" s="2" t="s">
        <v>2</v>
      </c>
      <c r="B544" s="1" t="s">
        <v>10</v>
      </c>
      <c r="C544" s="74" t="s">
        <v>53</v>
      </c>
      <c r="D544" s="74">
        <v>100</v>
      </c>
      <c r="E544" s="1" t="s">
        <v>73</v>
      </c>
      <c r="F544" s="1" t="s">
        <v>14</v>
      </c>
      <c r="G544" s="1">
        <v>33</v>
      </c>
      <c r="H544" s="1">
        <v>47</v>
      </c>
      <c r="I544" s="1">
        <v>32</v>
      </c>
    </row>
    <row r="545" spans="1:9" x14ac:dyDescent="0.25">
      <c r="A545" s="2" t="s">
        <v>2</v>
      </c>
      <c r="B545" s="1" t="s">
        <v>10</v>
      </c>
      <c r="C545" s="74" t="s">
        <v>53</v>
      </c>
      <c r="D545" s="74">
        <v>101</v>
      </c>
      <c r="E545" s="1" t="s">
        <v>73</v>
      </c>
      <c r="F545" s="1" t="s">
        <v>14</v>
      </c>
      <c r="G545" s="1">
        <v>46</v>
      </c>
      <c r="H545" s="1">
        <v>41</v>
      </c>
      <c r="I545" s="1">
        <v>40</v>
      </c>
    </row>
    <row r="546" spans="1:9" x14ac:dyDescent="0.25">
      <c r="A546" s="2" t="s">
        <v>2</v>
      </c>
      <c r="B546" s="1" t="s">
        <v>10</v>
      </c>
      <c r="C546" s="74" t="s">
        <v>53</v>
      </c>
      <c r="D546" s="74">
        <v>102</v>
      </c>
      <c r="E546" s="1" t="s">
        <v>73</v>
      </c>
      <c r="F546" s="1" t="s">
        <v>14</v>
      </c>
      <c r="G546" s="1">
        <v>38</v>
      </c>
      <c r="H546" s="1">
        <v>38</v>
      </c>
      <c r="I546" s="1">
        <v>30</v>
      </c>
    </row>
    <row r="547" spans="1:9" x14ac:dyDescent="0.25">
      <c r="A547" s="2" t="s">
        <v>2</v>
      </c>
      <c r="B547" s="1" t="s">
        <v>10</v>
      </c>
      <c r="C547" s="74" t="s">
        <v>53</v>
      </c>
      <c r="D547" s="74">
        <v>103</v>
      </c>
      <c r="E547" s="1" t="s">
        <v>73</v>
      </c>
      <c r="F547" s="1" t="s">
        <v>15</v>
      </c>
      <c r="G547" s="1">
        <v>58</v>
      </c>
      <c r="H547" s="1">
        <v>56</v>
      </c>
      <c r="I547" s="1">
        <v>53</v>
      </c>
    </row>
    <row r="548" spans="1:9" x14ac:dyDescent="0.25">
      <c r="A548" s="2" t="s">
        <v>2</v>
      </c>
      <c r="B548" s="1" t="s">
        <v>10</v>
      </c>
      <c r="C548" s="74" t="s">
        <v>53</v>
      </c>
      <c r="D548" s="74">
        <v>104</v>
      </c>
      <c r="E548" s="1" t="s">
        <v>73</v>
      </c>
      <c r="F548" s="1" t="s">
        <v>15</v>
      </c>
      <c r="G548" s="1">
        <v>64</v>
      </c>
      <c r="H548" s="1">
        <v>62</v>
      </c>
      <c r="I548" s="1">
        <v>55</v>
      </c>
    </row>
    <row r="549" spans="1:9" x14ac:dyDescent="0.25">
      <c r="A549" s="2" t="s">
        <v>2</v>
      </c>
      <c r="B549" s="1" t="s">
        <v>10</v>
      </c>
      <c r="C549" s="75" t="s">
        <v>6</v>
      </c>
      <c r="D549" s="75">
        <v>124</v>
      </c>
      <c r="E549" s="1" t="s">
        <v>7</v>
      </c>
      <c r="F549" s="1" t="s">
        <v>14</v>
      </c>
      <c r="G549" s="1">
        <v>86</v>
      </c>
      <c r="H549" s="1">
        <v>82</v>
      </c>
      <c r="I549" s="1">
        <v>72</v>
      </c>
    </row>
    <row r="550" spans="1:9" x14ac:dyDescent="0.25">
      <c r="A550" s="2" t="s">
        <v>2</v>
      </c>
      <c r="B550" s="1" t="s">
        <v>10</v>
      </c>
      <c r="C550" s="75" t="s">
        <v>6</v>
      </c>
      <c r="D550" s="75">
        <v>125</v>
      </c>
      <c r="E550" s="1" t="s">
        <v>7</v>
      </c>
      <c r="F550" s="1" t="s">
        <v>14</v>
      </c>
      <c r="G550" s="1">
        <v>65</v>
      </c>
      <c r="H550" s="1">
        <v>61</v>
      </c>
      <c r="I550" s="1">
        <v>57</v>
      </c>
    </row>
    <row r="551" spans="1:9" x14ac:dyDescent="0.25">
      <c r="A551" s="2" t="s">
        <v>2</v>
      </c>
      <c r="B551" s="1" t="s">
        <v>10</v>
      </c>
      <c r="C551" s="75" t="s">
        <v>6</v>
      </c>
      <c r="D551" s="75">
        <v>126</v>
      </c>
      <c r="E551" s="1" t="s">
        <v>7</v>
      </c>
      <c r="F551" s="1" t="s">
        <v>14</v>
      </c>
      <c r="G551" s="1">
        <v>44</v>
      </c>
      <c r="H551" s="1">
        <v>50</v>
      </c>
      <c r="I551" s="1">
        <v>37</v>
      </c>
    </row>
    <row r="552" spans="1:9" x14ac:dyDescent="0.25">
      <c r="A552" s="2" t="s">
        <v>2</v>
      </c>
      <c r="B552" s="1" t="s">
        <v>10</v>
      </c>
      <c r="C552" s="75" t="s">
        <v>6</v>
      </c>
      <c r="D552" s="75">
        <v>127</v>
      </c>
      <c r="E552" s="1" t="s">
        <v>7</v>
      </c>
      <c r="F552" s="1" t="s">
        <v>14</v>
      </c>
      <c r="G552" s="1">
        <v>71</v>
      </c>
      <c r="H552" s="1">
        <v>63</v>
      </c>
      <c r="I552" s="1">
        <v>61</v>
      </c>
    </row>
    <row r="553" spans="1:9" x14ac:dyDescent="0.25">
      <c r="A553" s="2" t="s">
        <v>2</v>
      </c>
      <c r="B553" s="1" t="s">
        <v>10</v>
      </c>
      <c r="C553" s="75" t="s">
        <v>6</v>
      </c>
      <c r="D553" s="75">
        <v>128</v>
      </c>
      <c r="E553" s="1" t="s">
        <v>7</v>
      </c>
      <c r="F553" s="1" t="s">
        <v>14</v>
      </c>
      <c r="G553" s="1">
        <v>52</v>
      </c>
      <c r="H553" s="1">
        <v>48</v>
      </c>
      <c r="I553" s="1">
        <v>49</v>
      </c>
    </row>
    <row r="554" spans="1:9" x14ac:dyDescent="0.25">
      <c r="A554" s="2" t="s">
        <v>2</v>
      </c>
      <c r="B554" s="1" t="s">
        <v>10</v>
      </c>
      <c r="C554" s="75" t="s">
        <v>6</v>
      </c>
      <c r="D554" s="75">
        <v>129</v>
      </c>
      <c r="E554" s="1" t="s">
        <v>7</v>
      </c>
      <c r="F554" s="1" t="s">
        <v>14</v>
      </c>
      <c r="G554" s="1">
        <v>51</v>
      </c>
      <c r="H554" s="1">
        <v>52</v>
      </c>
      <c r="I554" s="1">
        <v>46</v>
      </c>
    </row>
    <row r="555" spans="1:9" x14ac:dyDescent="0.25">
      <c r="A555" s="2" t="s">
        <v>2</v>
      </c>
      <c r="B555" s="1" t="s">
        <v>10</v>
      </c>
      <c r="C555" s="75" t="s">
        <v>6</v>
      </c>
      <c r="D555" s="75">
        <v>130</v>
      </c>
      <c r="E555" s="1" t="s">
        <v>7</v>
      </c>
      <c r="F555" s="1" t="s">
        <v>14</v>
      </c>
      <c r="G555" s="1">
        <v>81</v>
      </c>
      <c r="H555" s="1">
        <v>71</v>
      </c>
      <c r="I555" s="1">
        <v>62</v>
      </c>
    </row>
    <row r="556" spans="1:9" x14ac:dyDescent="0.25">
      <c r="A556" s="2" t="s">
        <v>2</v>
      </c>
      <c r="B556" s="1" t="s">
        <v>10</v>
      </c>
      <c r="C556" s="75" t="s">
        <v>6</v>
      </c>
      <c r="D556" s="75">
        <v>131</v>
      </c>
      <c r="E556" s="1" t="s">
        <v>7</v>
      </c>
      <c r="F556" s="1" t="s">
        <v>14</v>
      </c>
      <c r="G556" s="1">
        <v>65</v>
      </c>
      <c r="H556" s="1">
        <v>66</v>
      </c>
      <c r="I556" s="1">
        <v>61</v>
      </c>
    </row>
    <row r="557" spans="1:9" x14ac:dyDescent="0.25">
      <c r="A557" s="2" t="s">
        <v>2</v>
      </c>
      <c r="B557" s="1" t="s">
        <v>10</v>
      </c>
      <c r="C557" s="75" t="s">
        <v>6</v>
      </c>
      <c r="D557" s="75">
        <v>132</v>
      </c>
      <c r="E557" s="1" t="s">
        <v>7</v>
      </c>
      <c r="F557" s="1" t="s">
        <v>14</v>
      </c>
      <c r="G557" s="1">
        <v>64</v>
      </c>
      <c r="H557" s="1">
        <v>57</v>
      </c>
      <c r="I557" s="1">
        <v>52</v>
      </c>
    </row>
    <row r="558" spans="1:9" x14ac:dyDescent="0.25">
      <c r="A558" s="2" t="s">
        <v>2</v>
      </c>
      <c r="B558" s="1" t="s">
        <v>10</v>
      </c>
      <c r="C558" s="75" t="s">
        <v>6</v>
      </c>
      <c r="D558" s="75">
        <v>133</v>
      </c>
      <c r="E558" s="1" t="s">
        <v>7</v>
      </c>
      <c r="F558" s="1" t="s">
        <v>15</v>
      </c>
      <c r="G558" s="1">
        <v>88</v>
      </c>
      <c r="H558" s="1">
        <v>87</v>
      </c>
      <c r="I558" s="1">
        <v>85</v>
      </c>
    </row>
    <row r="559" spans="1:9" x14ac:dyDescent="0.25">
      <c r="A559" s="2" t="s">
        <v>2</v>
      </c>
      <c r="B559" s="1" t="s">
        <v>10</v>
      </c>
      <c r="C559" s="75" t="s">
        <v>6</v>
      </c>
      <c r="D559" s="75">
        <v>134</v>
      </c>
      <c r="E559" s="1" t="s">
        <v>7</v>
      </c>
      <c r="F559" s="1" t="s">
        <v>15</v>
      </c>
      <c r="G559" s="1">
        <v>85</v>
      </c>
      <c r="H559" s="1">
        <v>75</v>
      </c>
      <c r="I559" s="1">
        <v>72</v>
      </c>
    </row>
    <row r="560" spans="1:9" x14ac:dyDescent="0.25">
      <c r="A560" s="2" t="s">
        <v>2</v>
      </c>
      <c r="B560" s="1" t="s">
        <v>10</v>
      </c>
      <c r="C560" s="75" t="s">
        <v>6</v>
      </c>
      <c r="D560" s="75">
        <v>135</v>
      </c>
      <c r="E560" s="1" t="s">
        <v>73</v>
      </c>
      <c r="F560" s="1" t="s">
        <v>14</v>
      </c>
      <c r="G560" s="1">
        <v>65</v>
      </c>
      <c r="H560" s="1">
        <v>55</v>
      </c>
      <c r="I560" s="1">
        <v>51</v>
      </c>
    </row>
    <row r="561" spans="1:9" x14ac:dyDescent="0.25">
      <c r="A561" s="2" t="s">
        <v>2</v>
      </c>
      <c r="B561" s="1" t="s">
        <v>10</v>
      </c>
      <c r="C561" s="75" t="s">
        <v>6</v>
      </c>
      <c r="D561" s="75">
        <v>136</v>
      </c>
      <c r="E561" s="1" t="s">
        <v>73</v>
      </c>
      <c r="F561" s="1" t="s">
        <v>15</v>
      </c>
      <c r="G561" s="1">
        <v>59</v>
      </c>
      <c r="H561" s="1">
        <v>62</v>
      </c>
      <c r="I561" s="1">
        <v>58</v>
      </c>
    </row>
    <row r="562" spans="1:9" x14ac:dyDescent="0.25">
      <c r="A562" s="2" t="s">
        <v>2</v>
      </c>
      <c r="B562" s="1" t="s">
        <v>10</v>
      </c>
      <c r="C562" s="75" t="s">
        <v>6</v>
      </c>
      <c r="D562" s="75">
        <v>137</v>
      </c>
      <c r="E562" s="1" t="s">
        <v>73</v>
      </c>
      <c r="F562" s="1" t="s">
        <v>15</v>
      </c>
      <c r="G562" s="1">
        <v>76</v>
      </c>
      <c r="H562" s="1">
        <v>81</v>
      </c>
      <c r="I562" s="1">
        <v>72</v>
      </c>
    </row>
    <row r="563" spans="1:9" x14ac:dyDescent="0.25">
      <c r="A563" s="2" t="s">
        <v>2</v>
      </c>
      <c r="B563" s="1" t="s">
        <v>10</v>
      </c>
      <c r="C563" s="75" t="s">
        <v>6</v>
      </c>
      <c r="D563" s="75">
        <v>138</v>
      </c>
      <c r="E563" s="1" t="s">
        <v>73</v>
      </c>
      <c r="F563" s="1" t="s">
        <v>15</v>
      </c>
      <c r="G563" s="1">
        <v>73</v>
      </c>
      <c r="H563" s="1">
        <v>68</v>
      </c>
      <c r="I563" s="1">
        <v>71</v>
      </c>
    </row>
    <row r="564" spans="1:9" x14ac:dyDescent="0.25">
      <c r="A564" s="2" t="s">
        <v>2</v>
      </c>
      <c r="B564" s="1" t="s">
        <v>10</v>
      </c>
      <c r="C564" s="76" t="s">
        <v>54</v>
      </c>
      <c r="D564" s="76">
        <v>114</v>
      </c>
      <c r="E564" s="1" t="s">
        <v>7</v>
      </c>
      <c r="F564" s="1" t="s">
        <v>14</v>
      </c>
      <c r="G564" s="1">
        <v>47</v>
      </c>
      <c r="H564" s="1">
        <v>48</v>
      </c>
      <c r="I564" s="1">
        <v>49</v>
      </c>
    </row>
    <row r="565" spans="1:9" x14ac:dyDescent="0.25">
      <c r="A565" s="2" t="s">
        <v>2</v>
      </c>
      <c r="B565" s="1" t="s">
        <v>10</v>
      </c>
      <c r="C565" s="76" t="s">
        <v>54</v>
      </c>
      <c r="D565" s="76">
        <v>115</v>
      </c>
      <c r="E565" s="1" t="s">
        <v>7</v>
      </c>
      <c r="F565" s="1" t="s">
        <v>14</v>
      </c>
      <c r="G565" s="1">
        <v>67</v>
      </c>
      <c r="H565" s="1">
        <v>60</v>
      </c>
      <c r="I565" s="1">
        <v>61</v>
      </c>
    </row>
    <row r="566" spans="1:9" x14ac:dyDescent="0.25">
      <c r="A566" s="2" t="s">
        <v>2</v>
      </c>
      <c r="B566" s="1" t="s">
        <v>10</v>
      </c>
      <c r="C566" s="76" t="s">
        <v>54</v>
      </c>
      <c r="D566" s="76">
        <v>116</v>
      </c>
      <c r="E566" s="1" t="s">
        <v>7</v>
      </c>
      <c r="F566" s="1" t="s">
        <v>14</v>
      </c>
      <c r="G566" s="1">
        <v>72</v>
      </c>
      <c r="H566" s="1">
        <v>67</v>
      </c>
      <c r="I566" s="1">
        <v>64</v>
      </c>
    </row>
    <row r="567" spans="1:9" x14ac:dyDescent="0.25">
      <c r="A567" s="2" t="s">
        <v>2</v>
      </c>
      <c r="B567" s="1" t="s">
        <v>10</v>
      </c>
      <c r="C567" s="76" t="s">
        <v>54</v>
      </c>
      <c r="D567" s="76">
        <v>117</v>
      </c>
      <c r="E567" s="1" t="s">
        <v>7</v>
      </c>
      <c r="F567" s="1" t="s">
        <v>14</v>
      </c>
      <c r="G567" s="1">
        <v>74</v>
      </c>
      <c r="H567" s="1">
        <v>65</v>
      </c>
      <c r="I567" s="1">
        <v>61</v>
      </c>
    </row>
    <row r="568" spans="1:9" x14ac:dyDescent="0.25">
      <c r="A568" s="2" t="s">
        <v>2</v>
      </c>
      <c r="B568" s="1" t="s">
        <v>10</v>
      </c>
      <c r="C568" s="76" t="s">
        <v>54</v>
      </c>
      <c r="D568" s="76">
        <v>118</v>
      </c>
      <c r="E568" s="1" t="s">
        <v>7</v>
      </c>
      <c r="F568" s="1" t="s">
        <v>14</v>
      </c>
      <c r="G568" s="1">
        <v>59</v>
      </c>
      <c r="H568" s="1">
        <v>52</v>
      </c>
      <c r="I568" s="1">
        <v>45</v>
      </c>
    </row>
    <row r="569" spans="1:9" x14ac:dyDescent="0.25">
      <c r="A569" s="2" t="s">
        <v>2</v>
      </c>
      <c r="B569" s="1" t="s">
        <v>10</v>
      </c>
      <c r="C569" s="76" t="s">
        <v>54</v>
      </c>
      <c r="D569" s="76">
        <v>119</v>
      </c>
      <c r="E569" s="1" t="s">
        <v>7</v>
      </c>
      <c r="F569" s="1" t="s">
        <v>14</v>
      </c>
      <c r="G569" s="1">
        <v>73</v>
      </c>
      <c r="H569" s="1">
        <v>54</v>
      </c>
      <c r="I569" s="1">
        <v>57</v>
      </c>
    </row>
    <row r="570" spans="1:9" x14ac:dyDescent="0.25">
      <c r="A570" s="2" t="s">
        <v>2</v>
      </c>
      <c r="B570" s="1" t="s">
        <v>10</v>
      </c>
      <c r="C570" s="76" t="s">
        <v>54</v>
      </c>
      <c r="D570" s="76">
        <v>120</v>
      </c>
      <c r="E570" s="1" t="s">
        <v>7</v>
      </c>
      <c r="F570" s="1" t="s">
        <v>14</v>
      </c>
      <c r="G570" s="1">
        <v>81</v>
      </c>
      <c r="H570" s="1">
        <v>66</v>
      </c>
      <c r="I570" s="1">
        <v>58</v>
      </c>
    </row>
    <row r="571" spans="1:9" x14ac:dyDescent="0.25">
      <c r="A571" s="2" t="s">
        <v>2</v>
      </c>
      <c r="B571" s="1" t="s">
        <v>10</v>
      </c>
      <c r="C571" s="76" t="s">
        <v>54</v>
      </c>
      <c r="D571" s="76">
        <v>121</v>
      </c>
      <c r="E571" s="1" t="s">
        <v>7</v>
      </c>
      <c r="F571" s="1" t="s">
        <v>15</v>
      </c>
      <c r="G571" s="1">
        <v>76</v>
      </c>
      <c r="H571" s="1">
        <v>79</v>
      </c>
      <c r="I571" s="1">
        <v>80</v>
      </c>
    </row>
    <row r="572" spans="1:9" x14ac:dyDescent="0.25">
      <c r="A572" s="2" t="s">
        <v>2</v>
      </c>
      <c r="B572" s="1" t="s">
        <v>10</v>
      </c>
      <c r="C572" s="76" t="s">
        <v>54</v>
      </c>
      <c r="D572" s="76">
        <v>122</v>
      </c>
      <c r="E572" s="1" t="s">
        <v>7</v>
      </c>
      <c r="F572" s="1" t="s">
        <v>15</v>
      </c>
      <c r="G572" s="1">
        <v>79</v>
      </c>
      <c r="H572" s="1">
        <v>77</v>
      </c>
      <c r="I572" s="1">
        <v>75</v>
      </c>
    </row>
    <row r="573" spans="1:9" x14ac:dyDescent="0.25">
      <c r="A573" s="2" t="s">
        <v>2</v>
      </c>
      <c r="B573" s="1" t="s">
        <v>10</v>
      </c>
      <c r="C573" s="76" t="s">
        <v>54</v>
      </c>
      <c r="D573" s="76">
        <v>123</v>
      </c>
      <c r="E573" s="1" t="s">
        <v>73</v>
      </c>
      <c r="F573" s="1" t="s">
        <v>14</v>
      </c>
      <c r="G573" s="1">
        <v>60</v>
      </c>
      <c r="H573" s="1">
        <v>59</v>
      </c>
      <c r="I573" s="1">
        <v>52</v>
      </c>
    </row>
    <row r="574" spans="1:9" x14ac:dyDescent="0.25">
      <c r="A574" s="2" t="s">
        <v>2</v>
      </c>
      <c r="B574" s="1" t="s">
        <v>10</v>
      </c>
      <c r="C574" s="76" t="s">
        <v>54</v>
      </c>
      <c r="D574" s="76">
        <v>124</v>
      </c>
      <c r="E574" s="1" t="s">
        <v>73</v>
      </c>
      <c r="F574" s="1" t="s">
        <v>14</v>
      </c>
      <c r="G574" s="1">
        <v>74</v>
      </c>
      <c r="H574" s="1">
        <v>79</v>
      </c>
      <c r="I574" s="1">
        <v>65</v>
      </c>
    </row>
    <row r="575" spans="1:9" x14ac:dyDescent="0.25">
      <c r="A575" s="2" t="s">
        <v>2</v>
      </c>
      <c r="B575" s="1" t="s">
        <v>10</v>
      </c>
      <c r="C575" s="76" t="s">
        <v>54</v>
      </c>
      <c r="D575" s="76">
        <v>125</v>
      </c>
      <c r="E575" s="1" t="s">
        <v>73</v>
      </c>
      <c r="F575" s="1" t="s">
        <v>14</v>
      </c>
      <c r="G575" s="1">
        <v>45</v>
      </c>
      <c r="H575" s="1">
        <v>52</v>
      </c>
      <c r="I575" s="1">
        <v>45</v>
      </c>
    </row>
    <row r="576" spans="1:9" x14ac:dyDescent="0.25">
      <c r="A576" s="2" t="s">
        <v>2</v>
      </c>
      <c r="B576" s="1" t="s">
        <v>10</v>
      </c>
      <c r="C576" s="76" t="s">
        <v>54</v>
      </c>
      <c r="D576" s="76">
        <v>126</v>
      </c>
      <c r="E576" s="1" t="s">
        <v>73</v>
      </c>
      <c r="F576" s="1" t="s">
        <v>14</v>
      </c>
      <c r="G576" s="1">
        <v>57</v>
      </c>
      <c r="H576" s="1">
        <v>59</v>
      </c>
      <c r="I576" s="1">
        <v>62</v>
      </c>
    </row>
    <row r="577" spans="1:9" x14ac:dyDescent="0.25">
      <c r="A577" s="2" t="s">
        <v>2</v>
      </c>
      <c r="B577" s="1" t="s">
        <v>10</v>
      </c>
      <c r="C577" s="76" t="s">
        <v>54</v>
      </c>
      <c r="D577" s="76">
        <v>127</v>
      </c>
      <c r="E577" s="1" t="s">
        <v>73</v>
      </c>
      <c r="F577" s="1" t="s">
        <v>15</v>
      </c>
      <c r="G577" s="1">
        <v>84</v>
      </c>
      <c r="H577" s="1">
        <v>91</v>
      </c>
      <c r="I577" s="1">
        <v>89</v>
      </c>
    </row>
    <row r="578" spans="1:9" x14ac:dyDescent="0.25">
      <c r="A578" s="2" t="s">
        <v>2</v>
      </c>
      <c r="B578" s="1" t="s">
        <v>10</v>
      </c>
      <c r="C578" s="76" t="s">
        <v>54</v>
      </c>
      <c r="D578" s="76">
        <v>128</v>
      </c>
      <c r="E578" s="1" t="s">
        <v>73</v>
      </c>
      <c r="F578" s="1" t="s">
        <v>15</v>
      </c>
      <c r="G578" s="1">
        <v>50</v>
      </c>
      <c r="H578" s="1">
        <v>56</v>
      </c>
      <c r="I578" s="1">
        <v>55</v>
      </c>
    </row>
    <row r="579" spans="1:9" x14ac:dyDescent="0.25">
      <c r="A579" s="2" t="s">
        <v>2</v>
      </c>
      <c r="B579" s="1" t="s">
        <v>10</v>
      </c>
      <c r="C579" s="76" t="s">
        <v>54</v>
      </c>
      <c r="D579" s="76">
        <v>129</v>
      </c>
      <c r="E579" s="1" t="s">
        <v>73</v>
      </c>
      <c r="F579" s="1" t="s">
        <v>15</v>
      </c>
      <c r="G579" s="1">
        <v>68</v>
      </c>
      <c r="H579" s="1">
        <v>73</v>
      </c>
      <c r="I579" s="1">
        <v>72</v>
      </c>
    </row>
    <row r="580" spans="1:9" x14ac:dyDescent="0.25">
      <c r="A580" s="2" t="s">
        <v>2</v>
      </c>
      <c r="B580" s="1" t="s">
        <v>10</v>
      </c>
      <c r="C580" s="77" t="s">
        <v>42</v>
      </c>
      <c r="D580" s="77">
        <v>117</v>
      </c>
      <c r="E580" s="1" t="s">
        <v>7</v>
      </c>
      <c r="F580" s="1" t="s">
        <v>14</v>
      </c>
      <c r="G580" s="1">
        <v>74</v>
      </c>
      <c r="H580" s="1">
        <v>83</v>
      </c>
      <c r="I580" s="1">
        <v>72</v>
      </c>
    </row>
    <row r="581" spans="1:9" x14ac:dyDescent="0.25">
      <c r="A581" s="2" t="s">
        <v>2</v>
      </c>
      <c r="B581" s="1" t="s">
        <v>10</v>
      </c>
      <c r="C581" s="77" t="s">
        <v>42</v>
      </c>
      <c r="D581" s="77">
        <v>118</v>
      </c>
      <c r="E581" s="1" t="s">
        <v>7</v>
      </c>
      <c r="F581" s="1" t="s">
        <v>14</v>
      </c>
      <c r="G581" s="1">
        <v>85</v>
      </c>
      <c r="H581" s="1">
        <v>80</v>
      </c>
      <c r="I581" s="1">
        <v>73</v>
      </c>
    </row>
    <row r="582" spans="1:9" x14ac:dyDescent="0.25">
      <c r="A582" s="2" t="s">
        <v>2</v>
      </c>
      <c r="B582" s="1" t="s">
        <v>10</v>
      </c>
      <c r="C582" s="77" t="s">
        <v>42</v>
      </c>
      <c r="D582" s="77">
        <v>119</v>
      </c>
      <c r="E582" s="1" t="s">
        <v>7</v>
      </c>
      <c r="F582" s="1" t="s">
        <v>14</v>
      </c>
      <c r="G582" s="1">
        <v>60</v>
      </c>
      <c r="H582" s="1">
        <v>59</v>
      </c>
      <c r="I582" s="1">
        <v>53</v>
      </c>
    </row>
    <row r="583" spans="1:9" x14ac:dyDescent="0.25">
      <c r="A583" s="2" t="s">
        <v>2</v>
      </c>
      <c r="B583" s="1" t="s">
        <v>10</v>
      </c>
      <c r="C583" s="77" t="s">
        <v>42</v>
      </c>
      <c r="D583" s="77">
        <v>120</v>
      </c>
      <c r="E583" s="1" t="s">
        <v>7</v>
      </c>
      <c r="F583" s="1" t="s">
        <v>14</v>
      </c>
      <c r="G583" s="1">
        <v>60</v>
      </c>
      <c r="H583" s="1">
        <v>55</v>
      </c>
      <c r="I583" s="1">
        <v>52</v>
      </c>
    </row>
    <row r="584" spans="1:9" x14ac:dyDescent="0.25">
      <c r="A584" s="2" t="s">
        <v>2</v>
      </c>
      <c r="B584" s="1" t="s">
        <v>10</v>
      </c>
      <c r="C584" s="77" t="s">
        <v>42</v>
      </c>
      <c r="D584" s="77">
        <v>121</v>
      </c>
      <c r="E584" s="1" t="s">
        <v>7</v>
      </c>
      <c r="F584" s="1" t="s">
        <v>14</v>
      </c>
      <c r="G584" s="1">
        <v>69</v>
      </c>
      <c r="H584" s="1">
        <v>59</v>
      </c>
      <c r="I584" s="1">
        <v>57</v>
      </c>
    </row>
    <row r="585" spans="1:9" x14ac:dyDescent="0.25">
      <c r="A585" s="2" t="s">
        <v>2</v>
      </c>
      <c r="B585" s="1" t="s">
        <v>10</v>
      </c>
      <c r="C585" s="77" t="s">
        <v>42</v>
      </c>
      <c r="D585" s="77">
        <v>122</v>
      </c>
      <c r="E585" s="1" t="s">
        <v>7</v>
      </c>
      <c r="F585" s="1" t="s">
        <v>14</v>
      </c>
      <c r="G585" s="1">
        <v>76</v>
      </c>
      <c r="H585" s="1">
        <v>70</v>
      </c>
      <c r="I585" s="1">
        <v>67</v>
      </c>
    </row>
    <row r="586" spans="1:9" x14ac:dyDescent="0.25">
      <c r="A586" s="2" t="s">
        <v>2</v>
      </c>
      <c r="B586" s="1" t="s">
        <v>10</v>
      </c>
      <c r="C586" s="77" t="s">
        <v>42</v>
      </c>
      <c r="D586" s="77">
        <v>123</v>
      </c>
      <c r="E586" s="1" t="s">
        <v>7</v>
      </c>
      <c r="F586" s="1" t="s">
        <v>14</v>
      </c>
      <c r="G586" s="1">
        <v>58</v>
      </c>
      <c r="H586" s="1">
        <v>47</v>
      </c>
      <c r="I586" s="1">
        <v>45</v>
      </c>
    </row>
    <row r="587" spans="1:9" x14ac:dyDescent="0.25">
      <c r="A587" s="2" t="s">
        <v>2</v>
      </c>
      <c r="B587" s="1" t="s">
        <v>10</v>
      </c>
      <c r="C587" s="77" t="s">
        <v>42</v>
      </c>
      <c r="D587" s="77">
        <v>124</v>
      </c>
      <c r="E587" s="1" t="s">
        <v>7</v>
      </c>
      <c r="F587" s="1" t="s">
        <v>15</v>
      </c>
      <c r="G587" s="1">
        <v>83</v>
      </c>
      <c r="H587" s="1">
        <v>79</v>
      </c>
      <c r="I587" s="1">
        <v>80</v>
      </c>
    </row>
    <row r="588" spans="1:9" x14ac:dyDescent="0.25">
      <c r="A588" s="2" t="s">
        <v>2</v>
      </c>
      <c r="B588" s="1" t="s">
        <v>10</v>
      </c>
      <c r="C588" s="77" t="s">
        <v>42</v>
      </c>
      <c r="D588" s="77">
        <v>125</v>
      </c>
      <c r="E588" s="1" t="s">
        <v>7</v>
      </c>
      <c r="F588" s="1" t="s">
        <v>15</v>
      </c>
      <c r="G588" s="1">
        <v>77</v>
      </c>
      <c r="H588" s="1">
        <v>68</v>
      </c>
      <c r="I588" s="1">
        <v>66</v>
      </c>
    </row>
    <row r="589" spans="1:9" x14ac:dyDescent="0.25">
      <c r="A589" s="2" t="s">
        <v>2</v>
      </c>
      <c r="B589" s="1" t="s">
        <v>10</v>
      </c>
      <c r="C589" s="77" t="s">
        <v>42</v>
      </c>
      <c r="D589" s="77">
        <v>126</v>
      </c>
      <c r="E589" s="1" t="s">
        <v>73</v>
      </c>
      <c r="F589" s="1" t="s">
        <v>14</v>
      </c>
      <c r="G589" s="1">
        <v>70</v>
      </c>
      <c r="H589" s="1">
        <v>70</v>
      </c>
      <c r="I589" s="1">
        <v>63</v>
      </c>
    </row>
    <row r="590" spans="1:9" x14ac:dyDescent="0.25">
      <c r="A590" s="2" t="s">
        <v>2</v>
      </c>
      <c r="B590" s="1" t="s">
        <v>10</v>
      </c>
      <c r="C590" s="77" t="s">
        <v>42</v>
      </c>
      <c r="D590" s="77">
        <v>127</v>
      </c>
      <c r="E590" s="1" t="s">
        <v>73</v>
      </c>
      <c r="F590" s="1" t="s">
        <v>14</v>
      </c>
      <c r="G590" s="1">
        <v>51</v>
      </c>
      <c r="H590" s="1">
        <v>50</v>
      </c>
      <c r="I590" s="1">
        <v>44</v>
      </c>
    </row>
    <row r="591" spans="1:9" x14ac:dyDescent="0.25">
      <c r="A591" s="2" t="s">
        <v>2</v>
      </c>
      <c r="B591" s="1" t="s">
        <v>10</v>
      </c>
      <c r="C591" s="77" t="s">
        <v>42</v>
      </c>
      <c r="D591" s="77">
        <v>128</v>
      </c>
      <c r="E591" s="1" t="s">
        <v>73</v>
      </c>
      <c r="F591" s="1" t="s">
        <v>14</v>
      </c>
      <c r="G591" s="1">
        <v>44</v>
      </c>
      <c r="H591" s="1">
        <v>45</v>
      </c>
      <c r="I591" s="1">
        <v>41</v>
      </c>
    </row>
    <row r="592" spans="1:9" x14ac:dyDescent="0.25">
      <c r="A592" s="2" t="s">
        <v>2</v>
      </c>
      <c r="B592" s="1" t="s">
        <v>10</v>
      </c>
      <c r="C592" s="77" t="s">
        <v>42</v>
      </c>
      <c r="D592" s="77">
        <v>129</v>
      </c>
      <c r="E592" s="1" t="s">
        <v>73</v>
      </c>
      <c r="F592" s="1" t="s">
        <v>14</v>
      </c>
      <c r="G592" s="1">
        <v>78</v>
      </c>
      <c r="H592" s="1">
        <v>68</v>
      </c>
      <c r="I592" s="1">
        <v>70</v>
      </c>
    </row>
    <row r="593" spans="1:9" x14ac:dyDescent="0.25">
      <c r="A593" s="2" t="s">
        <v>2</v>
      </c>
      <c r="B593" s="1" t="s">
        <v>10</v>
      </c>
      <c r="C593" s="77" t="s">
        <v>42</v>
      </c>
      <c r="D593" s="77">
        <v>130</v>
      </c>
      <c r="E593" s="1" t="s">
        <v>73</v>
      </c>
      <c r="F593" s="1" t="s">
        <v>14</v>
      </c>
      <c r="G593" s="1">
        <v>52</v>
      </c>
      <c r="H593" s="1">
        <v>57</v>
      </c>
      <c r="I593" s="1">
        <v>49</v>
      </c>
    </row>
    <row r="594" spans="1:9" x14ac:dyDescent="0.25">
      <c r="A594" s="2" t="s">
        <v>2</v>
      </c>
      <c r="B594" s="1" t="s">
        <v>10</v>
      </c>
      <c r="C594" s="77" t="s">
        <v>42</v>
      </c>
      <c r="D594" s="77">
        <v>131</v>
      </c>
      <c r="E594" s="1" t="s">
        <v>73</v>
      </c>
      <c r="F594" s="1" t="s">
        <v>14</v>
      </c>
      <c r="G594" s="1">
        <v>42</v>
      </c>
      <c r="H594" s="1">
        <v>48</v>
      </c>
      <c r="I594" s="1">
        <v>33</v>
      </c>
    </row>
    <row r="595" spans="1:9" x14ac:dyDescent="0.25">
      <c r="A595" s="2" t="s">
        <v>2</v>
      </c>
      <c r="B595" s="1" t="s">
        <v>10</v>
      </c>
      <c r="C595" s="77" t="s">
        <v>42</v>
      </c>
      <c r="D595" s="77">
        <v>132</v>
      </c>
      <c r="E595" s="1" t="s">
        <v>73</v>
      </c>
      <c r="F595" s="1" t="s">
        <v>14</v>
      </c>
      <c r="G595" s="1">
        <v>56</v>
      </c>
      <c r="H595" s="1">
        <v>47</v>
      </c>
      <c r="I595" s="1">
        <v>48</v>
      </c>
    </row>
    <row r="596" spans="1:9" x14ac:dyDescent="0.25">
      <c r="A596" s="2" t="s">
        <v>2</v>
      </c>
      <c r="B596" s="1" t="s">
        <v>10</v>
      </c>
      <c r="C596" s="77" t="s">
        <v>42</v>
      </c>
      <c r="D596" s="77">
        <v>133</v>
      </c>
      <c r="E596" s="1" t="s">
        <v>73</v>
      </c>
      <c r="F596" s="1" t="s">
        <v>15</v>
      </c>
      <c r="G596" s="1">
        <v>58</v>
      </c>
      <c r="H596" s="1">
        <v>57</v>
      </c>
      <c r="I596" s="1">
        <v>58</v>
      </c>
    </row>
    <row r="597" spans="1:9" x14ac:dyDescent="0.25">
      <c r="A597" s="2" t="s">
        <v>2</v>
      </c>
      <c r="B597" s="1" t="s">
        <v>10</v>
      </c>
      <c r="C597" s="77" t="s">
        <v>42</v>
      </c>
      <c r="D597" s="77">
        <v>134</v>
      </c>
      <c r="E597" s="1" t="s">
        <v>73</v>
      </c>
      <c r="F597" s="1" t="s">
        <v>15</v>
      </c>
      <c r="G597" s="1">
        <v>76</v>
      </c>
      <c r="H597" s="1">
        <v>83</v>
      </c>
      <c r="I597" s="1">
        <v>78</v>
      </c>
    </row>
    <row r="598" spans="1:9" x14ac:dyDescent="0.25">
      <c r="A598" s="2" t="s">
        <v>2</v>
      </c>
      <c r="B598" s="1" t="s">
        <v>10</v>
      </c>
      <c r="C598" s="78" t="s">
        <v>52</v>
      </c>
      <c r="D598" s="78">
        <v>53</v>
      </c>
      <c r="E598" s="1" t="s">
        <v>7</v>
      </c>
      <c r="F598" s="1" t="s">
        <v>14</v>
      </c>
      <c r="G598" s="1">
        <v>63</v>
      </c>
      <c r="H598" s="1">
        <v>46</v>
      </c>
      <c r="I598" s="1">
        <v>46</v>
      </c>
    </row>
    <row r="599" spans="1:9" x14ac:dyDescent="0.25">
      <c r="A599" s="2" t="s">
        <v>2</v>
      </c>
      <c r="B599" s="1" t="s">
        <v>10</v>
      </c>
      <c r="C599" s="78" t="s">
        <v>52</v>
      </c>
      <c r="D599" s="78">
        <v>54</v>
      </c>
      <c r="E599" s="1" t="s">
        <v>7</v>
      </c>
      <c r="F599" s="1" t="s">
        <v>14</v>
      </c>
      <c r="G599" s="1">
        <v>82</v>
      </c>
      <c r="H599" s="1">
        <v>68</v>
      </c>
      <c r="I599" s="1">
        <v>69</v>
      </c>
    </row>
    <row r="600" spans="1:9" x14ac:dyDescent="0.25">
      <c r="A600" s="2" t="s">
        <v>2</v>
      </c>
      <c r="B600" s="1" t="s">
        <v>10</v>
      </c>
      <c r="C600" s="78" t="s">
        <v>52</v>
      </c>
      <c r="D600" s="78">
        <v>55</v>
      </c>
      <c r="E600" s="1" t="s">
        <v>7</v>
      </c>
      <c r="F600" s="1" t="s">
        <v>14</v>
      </c>
      <c r="G600" s="1">
        <v>84</v>
      </c>
      <c r="H600" s="1">
        <v>81</v>
      </c>
      <c r="I600" s="1">
        <v>72</v>
      </c>
    </row>
    <row r="601" spans="1:9" x14ac:dyDescent="0.25">
      <c r="A601" s="2" t="s">
        <v>2</v>
      </c>
      <c r="B601" s="1" t="s">
        <v>10</v>
      </c>
      <c r="C601" s="78" t="s">
        <v>52</v>
      </c>
      <c r="D601" s="78">
        <v>56</v>
      </c>
      <c r="E601" s="1" t="s">
        <v>7</v>
      </c>
      <c r="F601" s="1" t="s">
        <v>14</v>
      </c>
      <c r="G601" s="1">
        <v>84</v>
      </c>
      <c r="H601" s="1">
        <v>80</v>
      </c>
      <c r="I601" s="1">
        <v>77</v>
      </c>
    </row>
    <row r="602" spans="1:9" x14ac:dyDescent="0.25">
      <c r="A602" s="2" t="s">
        <v>2</v>
      </c>
      <c r="B602" s="1" t="s">
        <v>10</v>
      </c>
      <c r="C602" s="78" t="s">
        <v>52</v>
      </c>
      <c r="D602" s="78">
        <v>57</v>
      </c>
      <c r="E602" s="1" t="s">
        <v>7</v>
      </c>
      <c r="F602" s="1" t="s">
        <v>15</v>
      </c>
      <c r="G602" s="1">
        <v>94</v>
      </c>
      <c r="H602" s="1">
        <v>82</v>
      </c>
      <c r="I602" s="1">
        <v>93</v>
      </c>
    </row>
    <row r="603" spans="1:9" x14ac:dyDescent="0.25">
      <c r="A603" s="2" t="s">
        <v>2</v>
      </c>
      <c r="B603" s="1" t="s">
        <v>10</v>
      </c>
      <c r="C603" s="78" t="s">
        <v>52</v>
      </c>
      <c r="D603" s="78">
        <v>58</v>
      </c>
      <c r="E603" s="1" t="s">
        <v>7</v>
      </c>
      <c r="F603" s="1" t="s">
        <v>15</v>
      </c>
      <c r="G603" s="1">
        <v>64</v>
      </c>
      <c r="H603" s="1">
        <v>70</v>
      </c>
      <c r="I603" s="1">
        <v>72</v>
      </c>
    </row>
    <row r="604" spans="1:9" x14ac:dyDescent="0.25">
      <c r="A604" s="2" t="s">
        <v>2</v>
      </c>
      <c r="B604" s="1" t="s">
        <v>10</v>
      </c>
      <c r="C604" s="78" t="s">
        <v>52</v>
      </c>
      <c r="D604" s="78">
        <v>59</v>
      </c>
      <c r="E604" s="1" t="s">
        <v>7</v>
      </c>
      <c r="F604" s="1" t="s">
        <v>15</v>
      </c>
      <c r="G604" s="1">
        <v>62</v>
      </c>
      <c r="H604" s="1">
        <v>60</v>
      </c>
      <c r="I604" s="1">
        <v>55</v>
      </c>
    </row>
    <row r="605" spans="1:9" x14ac:dyDescent="0.25">
      <c r="A605" s="2" t="s">
        <v>2</v>
      </c>
      <c r="B605" s="1" t="s">
        <v>10</v>
      </c>
      <c r="C605" s="78" t="s">
        <v>52</v>
      </c>
      <c r="D605" s="78">
        <v>60</v>
      </c>
      <c r="E605" s="1" t="s">
        <v>7</v>
      </c>
      <c r="F605" s="1" t="s">
        <v>15</v>
      </c>
      <c r="G605" s="1">
        <v>88</v>
      </c>
      <c r="H605" s="1">
        <v>82</v>
      </c>
      <c r="I605" s="1">
        <v>82</v>
      </c>
    </row>
    <row r="606" spans="1:9" x14ac:dyDescent="0.25">
      <c r="A606" s="2" t="s">
        <v>2</v>
      </c>
      <c r="B606" s="1" t="s">
        <v>10</v>
      </c>
      <c r="C606" s="78" t="s">
        <v>52</v>
      </c>
      <c r="D606" s="78">
        <v>61</v>
      </c>
      <c r="E606" s="1" t="s">
        <v>73</v>
      </c>
      <c r="F606" s="1" t="s">
        <v>14</v>
      </c>
      <c r="G606" s="1">
        <v>76</v>
      </c>
      <c r="H606" s="1">
        <v>74</v>
      </c>
      <c r="I606" s="1">
        <v>76</v>
      </c>
    </row>
    <row r="607" spans="1:9" x14ac:dyDescent="0.25">
      <c r="A607" s="2" t="s">
        <v>2</v>
      </c>
      <c r="B607" s="1" t="s">
        <v>10</v>
      </c>
      <c r="C607" s="78" t="s">
        <v>52</v>
      </c>
      <c r="D607" s="78">
        <v>62</v>
      </c>
      <c r="E607" s="1" t="s">
        <v>73</v>
      </c>
      <c r="F607" s="1" t="s">
        <v>14</v>
      </c>
      <c r="G607" s="1">
        <v>57</v>
      </c>
      <c r="H607" s="1">
        <v>54</v>
      </c>
      <c r="I607" s="1">
        <v>44</v>
      </c>
    </row>
    <row r="608" spans="1:9" x14ac:dyDescent="0.25">
      <c r="A608" s="2" t="s">
        <v>2</v>
      </c>
      <c r="B608" s="1" t="s">
        <v>10</v>
      </c>
      <c r="C608" s="78" t="s">
        <v>52</v>
      </c>
      <c r="D608" s="78">
        <v>63</v>
      </c>
      <c r="E608" s="1" t="s">
        <v>73</v>
      </c>
      <c r="F608" s="1" t="s">
        <v>14</v>
      </c>
      <c r="G608" s="1">
        <v>50</v>
      </c>
      <c r="H608" s="1">
        <v>40</v>
      </c>
      <c r="I608" s="1">
        <v>38</v>
      </c>
    </row>
    <row r="609" spans="1:9" x14ac:dyDescent="0.25">
      <c r="A609" s="2" t="s">
        <v>2</v>
      </c>
      <c r="B609" s="1" t="s">
        <v>10</v>
      </c>
      <c r="C609" s="78" t="s">
        <v>52</v>
      </c>
      <c r="D609" s="78">
        <v>64</v>
      </c>
      <c r="E609" s="1" t="s">
        <v>73</v>
      </c>
      <c r="F609" s="1" t="s">
        <v>14</v>
      </c>
      <c r="G609" s="1">
        <v>70</v>
      </c>
      <c r="H609" s="1">
        <v>70</v>
      </c>
      <c r="I609" s="1">
        <v>66</v>
      </c>
    </row>
    <row r="610" spans="1:9" x14ac:dyDescent="0.25">
      <c r="A610" s="2" t="s">
        <v>2</v>
      </c>
      <c r="B610" s="1" t="s">
        <v>10</v>
      </c>
      <c r="C610" s="78" t="s">
        <v>52</v>
      </c>
      <c r="D610" s="78">
        <v>65</v>
      </c>
      <c r="E610" s="1" t="s">
        <v>73</v>
      </c>
      <c r="F610" s="1" t="s">
        <v>14</v>
      </c>
      <c r="G610" s="1">
        <v>55</v>
      </c>
      <c r="H610" s="1">
        <v>59</v>
      </c>
      <c r="I610" s="1">
        <v>49</v>
      </c>
    </row>
    <row r="611" spans="1:9" x14ac:dyDescent="0.25">
      <c r="A611" s="2" t="s">
        <v>2</v>
      </c>
      <c r="B611" s="1" t="s">
        <v>10</v>
      </c>
      <c r="C611" s="78" t="s">
        <v>52</v>
      </c>
      <c r="D611" s="78">
        <v>66</v>
      </c>
      <c r="E611" s="1" t="s">
        <v>73</v>
      </c>
      <c r="F611" s="1" t="s">
        <v>15</v>
      </c>
      <c r="G611" s="1">
        <v>48</v>
      </c>
      <c r="H611" s="1">
        <v>59</v>
      </c>
      <c r="I611" s="1">
        <v>55</v>
      </c>
    </row>
    <row r="612" spans="1:9" x14ac:dyDescent="0.25">
      <c r="A612" s="2" t="s">
        <v>2</v>
      </c>
      <c r="B612" s="1" t="s">
        <v>10</v>
      </c>
      <c r="C612" s="79" t="s">
        <v>59</v>
      </c>
      <c r="D612" s="79">
        <v>36</v>
      </c>
      <c r="E612" s="1" t="s">
        <v>7</v>
      </c>
      <c r="F612" s="1" t="s">
        <v>14</v>
      </c>
      <c r="G612" s="1">
        <v>53</v>
      </c>
      <c r="H612" s="1">
        <v>50</v>
      </c>
      <c r="I612" s="1">
        <v>49</v>
      </c>
    </row>
    <row r="613" spans="1:9" x14ac:dyDescent="0.25">
      <c r="A613" s="2" t="s">
        <v>2</v>
      </c>
      <c r="B613" s="1" t="s">
        <v>10</v>
      </c>
      <c r="C613" s="79" t="s">
        <v>59</v>
      </c>
      <c r="D613" s="79">
        <v>37</v>
      </c>
      <c r="E613" s="1" t="s">
        <v>7</v>
      </c>
      <c r="F613" s="1" t="s">
        <v>14</v>
      </c>
      <c r="G613" s="1">
        <v>68</v>
      </c>
      <c r="H613" s="1">
        <v>65</v>
      </c>
      <c r="I613" s="1">
        <v>60</v>
      </c>
    </row>
    <row r="614" spans="1:9" x14ac:dyDescent="0.25">
      <c r="A614" s="2" t="s">
        <v>2</v>
      </c>
      <c r="B614" s="1" t="s">
        <v>10</v>
      </c>
      <c r="C614" s="79" t="s">
        <v>59</v>
      </c>
      <c r="D614" s="79">
        <v>38</v>
      </c>
      <c r="E614" s="1" t="s">
        <v>7</v>
      </c>
      <c r="F614" s="1" t="s">
        <v>14</v>
      </c>
      <c r="G614" s="1">
        <v>61</v>
      </c>
      <c r="H614" s="1">
        <v>56</v>
      </c>
      <c r="I614" s="1">
        <v>52</v>
      </c>
    </row>
    <row r="615" spans="1:9" x14ac:dyDescent="0.25">
      <c r="A615" s="2" t="s">
        <v>2</v>
      </c>
      <c r="B615" s="1" t="s">
        <v>10</v>
      </c>
      <c r="C615" s="79" t="s">
        <v>59</v>
      </c>
      <c r="D615" s="79">
        <v>39</v>
      </c>
      <c r="E615" s="1" t="s">
        <v>7</v>
      </c>
      <c r="F615" s="1" t="s">
        <v>14</v>
      </c>
      <c r="G615" s="1">
        <v>100</v>
      </c>
      <c r="H615" s="1">
        <v>90</v>
      </c>
      <c r="I615" s="1">
        <v>88</v>
      </c>
    </row>
    <row r="616" spans="1:9" x14ac:dyDescent="0.25">
      <c r="A616" s="2" t="s">
        <v>2</v>
      </c>
      <c r="B616" s="1" t="s">
        <v>10</v>
      </c>
      <c r="C616" s="79" t="s">
        <v>59</v>
      </c>
      <c r="D616" s="79">
        <v>40</v>
      </c>
      <c r="E616" s="1" t="s">
        <v>7</v>
      </c>
      <c r="F616" s="1" t="s">
        <v>14</v>
      </c>
      <c r="G616" s="1">
        <v>88</v>
      </c>
      <c r="H616" s="1">
        <v>78</v>
      </c>
      <c r="I616" s="1">
        <v>84</v>
      </c>
    </row>
    <row r="617" spans="1:9" x14ac:dyDescent="0.25">
      <c r="A617" s="2" t="s">
        <v>2</v>
      </c>
      <c r="B617" s="1" t="s">
        <v>10</v>
      </c>
      <c r="C617" s="79" t="s">
        <v>59</v>
      </c>
      <c r="D617" s="79">
        <v>41</v>
      </c>
      <c r="E617" s="1" t="s">
        <v>7</v>
      </c>
      <c r="F617" s="1" t="s">
        <v>14</v>
      </c>
      <c r="G617" s="1">
        <v>92</v>
      </c>
      <c r="H617" s="1">
        <v>89</v>
      </c>
      <c r="I617" s="1">
        <v>83</v>
      </c>
    </row>
    <row r="618" spans="1:9" x14ac:dyDescent="0.25">
      <c r="A618" s="2" t="s">
        <v>2</v>
      </c>
      <c r="B618" s="1" t="s">
        <v>10</v>
      </c>
      <c r="C618" s="79" t="s">
        <v>59</v>
      </c>
      <c r="D618" s="79">
        <v>42</v>
      </c>
      <c r="E618" s="1" t="s">
        <v>73</v>
      </c>
      <c r="F618" s="1" t="s">
        <v>14</v>
      </c>
      <c r="G618" s="1">
        <v>76</v>
      </c>
      <c r="H618" s="1">
        <v>68</v>
      </c>
      <c r="I618" s="1">
        <v>70</v>
      </c>
    </row>
    <row r="619" spans="1:9" x14ac:dyDescent="0.25">
      <c r="A619" s="2" t="s">
        <v>2</v>
      </c>
      <c r="B619" s="1" t="s">
        <v>10</v>
      </c>
      <c r="C619" s="79" t="s">
        <v>59</v>
      </c>
      <c r="D619" s="79">
        <v>43</v>
      </c>
      <c r="E619" s="1" t="s">
        <v>73</v>
      </c>
      <c r="F619" s="1" t="s">
        <v>14</v>
      </c>
      <c r="G619" s="1">
        <v>65</v>
      </c>
      <c r="H619" s="1">
        <v>65</v>
      </c>
      <c r="I619" s="1">
        <v>62</v>
      </c>
    </row>
    <row r="620" spans="1:9" x14ac:dyDescent="0.25">
      <c r="A620" s="2" t="s">
        <v>2</v>
      </c>
      <c r="B620" s="1" t="s">
        <v>10</v>
      </c>
      <c r="C620" s="79" t="s">
        <v>59</v>
      </c>
      <c r="D620" s="79">
        <v>44</v>
      </c>
      <c r="E620" s="1" t="s">
        <v>73</v>
      </c>
      <c r="F620" s="1" t="s">
        <v>14</v>
      </c>
      <c r="G620" s="1">
        <v>54</v>
      </c>
      <c r="H620" s="1">
        <v>60</v>
      </c>
      <c r="I620" s="1">
        <v>60</v>
      </c>
    </row>
    <row r="621" spans="1:9" x14ac:dyDescent="0.25">
      <c r="A621" s="2" t="s">
        <v>2</v>
      </c>
      <c r="B621" s="1" t="s">
        <v>10</v>
      </c>
      <c r="C621" s="79" t="s">
        <v>59</v>
      </c>
      <c r="D621" s="79">
        <v>45</v>
      </c>
      <c r="E621" s="1" t="s">
        <v>73</v>
      </c>
      <c r="F621" s="1" t="s">
        <v>15</v>
      </c>
      <c r="G621" s="1">
        <v>71</v>
      </c>
      <c r="H621" s="1">
        <v>75</v>
      </c>
      <c r="I621" s="1">
        <v>73</v>
      </c>
    </row>
    <row r="622" spans="1:9" x14ac:dyDescent="0.25">
      <c r="A622" s="2" t="s">
        <v>2</v>
      </c>
      <c r="B622" s="1" t="s">
        <v>11</v>
      </c>
      <c r="C622" s="74" t="s">
        <v>53</v>
      </c>
      <c r="D622" s="74">
        <v>105</v>
      </c>
      <c r="E622" s="1" t="s">
        <v>7</v>
      </c>
      <c r="F622" s="1" t="s">
        <v>14</v>
      </c>
      <c r="G622" s="1">
        <v>68</v>
      </c>
      <c r="H622" s="1">
        <v>57</v>
      </c>
      <c r="I622" s="1">
        <v>54</v>
      </c>
    </row>
    <row r="623" spans="1:9" x14ac:dyDescent="0.25">
      <c r="A623" s="2" t="s">
        <v>2</v>
      </c>
      <c r="B623" s="1" t="s">
        <v>11</v>
      </c>
      <c r="C623" s="74" t="s">
        <v>53</v>
      </c>
      <c r="D623" s="74">
        <v>106</v>
      </c>
      <c r="E623" s="1" t="s">
        <v>7</v>
      </c>
      <c r="F623" s="1" t="s">
        <v>14</v>
      </c>
      <c r="G623" s="1">
        <v>80</v>
      </c>
      <c r="H623" s="1">
        <v>75</v>
      </c>
      <c r="I623" s="1">
        <v>73</v>
      </c>
    </row>
    <row r="624" spans="1:9" x14ac:dyDescent="0.25">
      <c r="A624" s="2" t="s">
        <v>2</v>
      </c>
      <c r="B624" s="1" t="s">
        <v>11</v>
      </c>
      <c r="C624" s="74" t="s">
        <v>53</v>
      </c>
      <c r="D624" s="74">
        <v>107</v>
      </c>
      <c r="E624" s="1" t="s">
        <v>7</v>
      </c>
      <c r="F624" s="1" t="s">
        <v>14</v>
      </c>
      <c r="G624" s="1">
        <v>67</v>
      </c>
      <c r="H624" s="1">
        <v>66</v>
      </c>
      <c r="I624" s="1">
        <v>66</v>
      </c>
    </row>
    <row r="625" spans="1:9" x14ac:dyDescent="0.25">
      <c r="A625" s="2" t="s">
        <v>2</v>
      </c>
      <c r="B625" s="1" t="s">
        <v>11</v>
      </c>
      <c r="C625" s="74" t="s">
        <v>53</v>
      </c>
      <c r="D625" s="74">
        <v>108</v>
      </c>
      <c r="E625" s="1" t="s">
        <v>7</v>
      </c>
      <c r="F625" s="1" t="s">
        <v>14</v>
      </c>
      <c r="G625" s="1">
        <v>59</v>
      </c>
      <c r="H625" s="1">
        <v>50</v>
      </c>
      <c r="I625" s="1">
        <v>41</v>
      </c>
    </row>
    <row r="626" spans="1:9" x14ac:dyDescent="0.25">
      <c r="A626" s="2" t="s">
        <v>2</v>
      </c>
      <c r="B626" s="1" t="s">
        <v>11</v>
      </c>
      <c r="C626" s="74" t="s">
        <v>53</v>
      </c>
      <c r="D626" s="74">
        <v>109</v>
      </c>
      <c r="E626" s="1" t="s">
        <v>7</v>
      </c>
      <c r="F626" s="1" t="s">
        <v>14</v>
      </c>
      <c r="G626" s="1">
        <v>64</v>
      </c>
      <c r="H626" s="1">
        <v>56</v>
      </c>
      <c r="I626" s="1">
        <v>51</v>
      </c>
    </row>
    <row r="627" spans="1:9" x14ac:dyDescent="0.25">
      <c r="A627" s="2" t="s">
        <v>2</v>
      </c>
      <c r="B627" s="1" t="s">
        <v>11</v>
      </c>
      <c r="C627" s="74" t="s">
        <v>53</v>
      </c>
      <c r="D627" s="74">
        <v>110</v>
      </c>
      <c r="E627" s="1" t="s">
        <v>7</v>
      </c>
      <c r="F627" s="1" t="s">
        <v>14</v>
      </c>
      <c r="G627" s="1">
        <v>57</v>
      </c>
      <c r="H627" s="1">
        <v>46</v>
      </c>
      <c r="I627" s="1">
        <v>44</v>
      </c>
    </row>
    <row r="628" spans="1:9" x14ac:dyDescent="0.25">
      <c r="A628" s="2" t="s">
        <v>2</v>
      </c>
      <c r="B628" s="1" t="s">
        <v>11</v>
      </c>
      <c r="C628" s="74" t="s">
        <v>53</v>
      </c>
      <c r="D628" s="74">
        <v>111</v>
      </c>
      <c r="E628" s="1" t="s">
        <v>7</v>
      </c>
      <c r="F628" s="1" t="s">
        <v>14</v>
      </c>
      <c r="G628" s="1">
        <v>77</v>
      </c>
      <c r="H628" s="1">
        <v>79</v>
      </c>
      <c r="I628" s="1">
        <v>76</v>
      </c>
    </row>
    <row r="629" spans="1:9" x14ac:dyDescent="0.25">
      <c r="A629" s="2" t="s">
        <v>2</v>
      </c>
      <c r="B629" s="1" t="s">
        <v>11</v>
      </c>
      <c r="C629" s="74" t="s">
        <v>53</v>
      </c>
      <c r="D629" s="74">
        <v>112</v>
      </c>
      <c r="E629" s="1" t="s">
        <v>7</v>
      </c>
      <c r="F629" s="1" t="s">
        <v>14</v>
      </c>
      <c r="G629" s="1">
        <v>63</v>
      </c>
      <c r="H629" s="1">
        <v>57</v>
      </c>
      <c r="I629" s="1">
        <v>59</v>
      </c>
    </row>
    <row r="630" spans="1:9" x14ac:dyDescent="0.25">
      <c r="A630" s="2" t="s">
        <v>2</v>
      </c>
      <c r="B630" s="1" t="s">
        <v>11</v>
      </c>
      <c r="C630" s="74" t="s">
        <v>53</v>
      </c>
      <c r="D630" s="74">
        <v>113</v>
      </c>
      <c r="E630" s="1" t="s">
        <v>7</v>
      </c>
      <c r="F630" s="1" t="s">
        <v>14</v>
      </c>
      <c r="G630" s="1">
        <v>79</v>
      </c>
      <c r="H630" s="1">
        <v>65</v>
      </c>
      <c r="I630" s="1">
        <v>67</v>
      </c>
    </row>
    <row r="631" spans="1:9" x14ac:dyDescent="0.25">
      <c r="A631" s="2" t="s">
        <v>2</v>
      </c>
      <c r="B631" s="1" t="s">
        <v>11</v>
      </c>
      <c r="C631" s="74" t="s">
        <v>53</v>
      </c>
      <c r="D631" s="74">
        <v>114</v>
      </c>
      <c r="E631" s="1" t="s">
        <v>7</v>
      </c>
      <c r="F631" s="1" t="s">
        <v>14</v>
      </c>
      <c r="G631" s="1">
        <v>67</v>
      </c>
      <c r="H631" s="1">
        <v>65</v>
      </c>
      <c r="I631" s="1">
        <v>62</v>
      </c>
    </row>
    <row r="632" spans="1:9" x14ac:dyDescent="0.25">
      <c r="A632" s="2" t="s">
        <v>2</v>
      </c>
      <c r="B632" s="1" t="s">
        <v>11</v>
      </c>
      <c r="C632" s="74" t="s">
        <v>53</v>
      </c>
      <c r="D632" s="74">
        <v>115</v>
      </c>
      <c r="E632" s="1" t="s">
        <v>7</v>
      </c>
      <c r="F632" s="1" t="s">
        <v>14</v>
      </c>
      <c r="G632" s="1">
        <v>68</v>
      </c>
      <c r="H632" s="1">
        <v>76</v>
      </c>
      <c r="I632" s="1">
        <v>72</v>
      </c>
    </row>
    <row r="633" spans="1:9" x14ac:dyDescent="0.25">
      <c r="A633" s="2" t="s">
        <v>2</v>
      </c>
      <c r="B633" s="1" t="s">
        <v>11</v>
      </c>
      <c r="C633" s="74" t="s">
        <v>53</v>
      </c>
      <c r="D633" s="74">
        <v>116</v>
      </c>
      <c r="E633" s="1" t="s">
        <v>7</v>
      </c>
      <c r="F633" s="1" t="s">
        <v>14</v>
      </c>
      <c r="G633" s="1">
        <v>54</v>
      </c>
      <c r="H633" s="1">
        <v>56</v>
      </c>
      <c r="I633" s="1">
        <v>47</v>
      </c>
    </row>
    <row r="634" spans="1:9" x14ac:dyDescent="0.25">
      <c r="A634" s="2" t="s">
        <v>2</v>
      </c>
      <c r="B634" s="1" t="s">
        <v>11</v>
      </c>
      <c r="C634" s="74" t="s">
        <v>53</v>
      </c>
      <c r="D634" s="74">
        <v>117</v>
      </c>
      <c r="E634" s="1" t="s">
        <v>7</v>
      </c>
      <c r="F634" s="1" t="s">
        <v>14</v>
      </c>
      <c r="G634" s="1">
        <v>63</v>
      </c>
      <c r="H634" s="1">
        <v>59</v>
      </c>
      <c r="I634" s="1">
        <v>51</v>
      </c>
    </row>
    <row r="635" spans="1:9" x14ac:dyDescent="0.25">
      <c r="A635" s="2" t="s">
        <v>2</v>
      </c>
      <c r="B635" s="1" t="s">
        <v>11</v>
      </c>
      <c r="C635" s="74" t="s">
        <v>53</v>
      </c>
      <c r="D635" s="74">
        <v>118</v>
      </c>
      <c r="E635" s="1" t="s">
        <v>7</v>
      </c>
      <c r="F635" s="1" t="s">
        <v>14</v>
      </c>
      <c r="G635" s="1">
        <v>65</v>
      </c>
      <c r="H635" s="1">
        <v>58</v>
      </c>
      <c r="I635" s="1">
        <v>57</v>
      </c>
    </row>
    <row r="636" spans="1:9" x14ac:dyDescent="0.25">
      <c r="A636" s="2" t="s">
        <v>2</v>
      </c>
      <c r="B636" s="1" t="s">
        <v>11</v>
      </c>
      <c r="C636" s="74" t="s">
        <v>53</v>
      </c>
      <c r="D636" s="74">
        <v>119</v>
      </c>
      <c r="E636" s="1" t="s">
        <v>7</v>
      </c>
      <c r="F636" s="1" t="s">
        <v>14</v>
      </c>
      <c r="G636" s="1">
        <v>63</v>
      </c>
      <c r="H636" s="1">
        <v>63</v>
      </c>
      <c r="I636" s="1">
        <v>63</v>
      </c>
    </row>
    <row r="637" spans="1:9" x14ac:dyDescent="0.25">
      <c r="A637" s="2" t="s">
        <v>2</v>
      </c>
      <c r="B637" s="1" t="s">
        <v>11</v>
      </c>
      <c r="C637" s="74" t="s">
        <v>53</v>
      </c>
      <c r="D637" s="74">
        <v>120</v>
      </c>
      <c r="E637" s="1" t="s">
        <v>7</v>
      </c>
      <c r="F637" s="1" t="s">
        <v>14</v>
      </c>
      <c r="G637" s="1">
        <v>84</v>
      </c>
      <c r="H637" s="1">
        <v>84</v>
      </c>
      <c r="I637" s="1">
        <v>74</v>
      </c>
    </row>
    <row r="638" spans="1:9" x14ac:dyDescent="0.25">
      <c r="A638" s="2" t="s">
        <v>2</v>
      </c>
      <c r="B638" s="1" t="s">
        <v>11</v>
      </c>
      <c r="C638" s="74" t="s">
        <v>53</v>
      </c>
      <c r="D638" s="74">
        <v>121</v>
      </c>
      <c r="E638" s="1" t="s">
        <v>7</v>
      </c>
      <c r="F638" s="1" t="s">
        <v>14</v>
      </c>
      <c r="G638" s="1">
        <v>94</v>
      </c>
      <c r="H638" s="1">
        <v>84</v>
      </c>
      <c r="I638" s="1">
        <v>80</v>
      </c>
    </row>
    <row r="639" spans="1:9" x14ac:dyDescent="0.25">
      <c r="A639" s="2" t="s">
        <v>2</v>
      </c>
      <c r="B639" s="1" t="s">
        <v>11</v>
      </c>
      <c r="C639" s="74" t="s">
        <v>53</v>
      </c>
      <c r="D639" s="74">
        <v>122</v>
      </c>
      <c r="E639" s="1" t="s">
        <v>7</v>
      </c>
      <c r="F639" s="1" t="s">
        <v>14</v>
      </c>
      <c r="G639" s="1">
        <v>45</v>
      </c>
      <c r="H639" s="1">
        <v>48</v>
      </c>
      <c r="I639" s="1">
        <v>46</v>
      </c>
    </row>
    <row r="640" spans="1:9" x14ac:dyDescent="0.25">
      <c r="A640" s="2" t="s">
        <v>2</v>
      </c>
      <c r="B640" s="1" t="s">
        <v>11</v>
      </c>
      <c r="C640" s="74" t="s">
        <v>53</v>
      </c>
      <c r="D640" s="74">
        <v>123</v>
      </c>
      <c r="E640" s="1" t="s">
        <v>7</v>
      </c>
      <c r="F640" s="1" t="s">
        <v>14</v>
      </c>
      <c r="G640" s="1">
        <v>83</v>
      </c>
      <c r="H640" s="1">
        <v>84</v>
      </c>
      <c r="I640" s="1">
        <v>78</v>
      </c>
    </row>
    <row r="641" spans="1:9" x14ac:dyDescent="0.25">
      <c r="A641" s="2" t="s">
        <v>2</v>
      </c>
      <c r="B641" s="1" t="s">
        <v>11</v>
      </c>
      <c r="C641" s="74" t="s">
        <v>53</v>
      </c>
      <c r="D641" s="74">
        <v>124</v>
      </c>
      <c r="E641" s="1" t="s">
        <v>7</v>
      </c>
      <c r="F641" s="1" t="s">
        <v>14</v>
      </c>
      <c r="G641" s="1">
        <v>28</v>
      </c>
      <c r="H641" s="1">
        <v>27</v>
      </c>
      <c r="I641" s="1">
        <v>23</v>
      </c>
    </row>
    <row r="642" spans="1:9" x14ac:dyDescent="0.25">
      <c r="A642" s="2" t="s">
        <v>2</v>
      </c>
      <c r="B642" s="1" t="s">
        <v>11</v>
      </c>
      <c r="C642" s="74" t="s">
        <v>53</v>
      </c>
      <c r="D642" s="74">
        <v>125</v>
      </c>
      <c r="E642" s="1" t="s">
        <v>7</v>
      </c>
      <c r="F642" s="1" t="s">
        <v>15</v>
      </c>
      <c r="G642" s="1">
        <v>83</v>
      </c>
      <c r="H642" s="1">
        <v>81</v>
      </c>
      <c r="I642" s="1">
        <v>78</v>
      </c>
    </row>
    <row r="643" spans="1:9" x14ac:dyDescent="0.25">
      <c r="A643" s="2" t="s">
        <v>2</v>
      </c>
      <c r="B643" s="1" t="s">
        <v>11</v>
      </c>
      <c r="C643" s="74" t="s">
        <v>53</v>
      </c>
      <c r="D643" s="74">
        <v>126</v>
      </c>
      <c r="E643" s="1" t="s">
        <v>7</v>
      </c>
      <c r="F643" s="1" t="s">
        <v>15</v>
      </c>
      <c r="G643" s="1">
        <v>52</v>
      </c>
      <c r="H643" s="1">
        <v>59</v>
      </c>
      <c r="I643" s="1">
        <v>59</v>
      </c>
    </row>
    <row r="644" spans="1:9" x14ac:dyDescent="0.25">
      <c r="A644" s="2" t="s">
        <v>2</v>
      </c>
      <c r="B644" s="1" t="s">
        <v>11</v>
      </c>
      <c r="C644" s="74" t="s">
        <v>53</v>
      </c>
      <c r="D644" s="74">
        <v>127</v>
      </c>
      <c r="E644" s="1" t="s">
        <v>7</v>
      </c>
      <c r="F644" s="1" t="s">
        <v>15</v>
      </c>
      <c r="G644" s="1">
        <v>62</v>
      </c>
      <c r="H644" s="1">
        <v>71</v>
      </c>
      <c r="I644" s="1">
        <v>62</v>
      </c>
    </row>
    <row r="645" spans="1:9" x14ac:dyDescent="0.25">
      <c r="A645" s="2" t="s">
        <v>2</v>
      </c>
      <c r="B645" s="1" t="s">
        <v>11</v>
      </c>
      <c r="C645" s="74" t="s">
        <v>53</v>
      </c>
      <c r="D645" s="74">
        <v>128</v>
      </c>
      <c r="E645" s="1" t="s">
        <v>7</v>
      </c>
      <c r="F645" s="1" t="s">
        <v>15</v>
      </c>
      <c r="G645" s="1">
        <v>63</v>
      </c>
      <c r="H645" s="1">
        <v>69</v>
      </c>
      <c r="I645" s="1">
        <v>68</v>
      </c>
    </row>
    <row r="646" spans="1:9" x14ac:dyDescent="0.25">
      <c r="A646" s="2" t="s">
        <v>2</v>
      </c>
      <c r="B646" s="1" t="s">
        <v>11</v>
      </c>
      <c r="C646" s="74" t="s">
        <v>53</v>
      </c>
      <c r="D646" s="74">
        <v>129</v>
      </c>
      <c r="E646" s="1" t="s">
        <v>7</v>
      </c>
      <c r="F646" s="1" t="s">
        <v>15</v>
      </c>
      <c r="G646" s="1">
        <v>86</v>
      </c>
      <c r="H646" s="1">
        <v>89</v>
      </c>
      <c r="I646" s="1">
        <v>87</v>
      </c>
    </row>
    <row r="647" spans="1:9" x14ac:dyDescent="0.25">
      <c r="A647" s="2" t="s">
        <v>2</v>
      </c>
      <c r="B647" s="1" t="s">
        <v>11</v>
      </c>
      <c r="C647" s="74" t="s">
        <v>53</v>
      </c>
      <c r="D647" s="74">
        <v>130</v>
      </c>
      <c r="E647" s="1" t="s">
        <v>7</v>
      </c>
      <c r="F647" s="1" t="s">
        <v>15</v>
      </c>
      <c r="G647" s="1">
        <v>60</v>
      </c>
      <c r="H647" s="1">
        <v>51</v>
      </c>
      <c r="I647" s="1">
        <v>55</v>
      </c>
    </row>
    <row r="648" spans="1:9" x14ac:dyDescent="0.25">
      <c r="A648" s="2" t="s">
        <v>2</v>
      </c>
      <c r="B648" s="1" t="s">
        <v>11</v>
      </c>
      <c r="C648" s="74" t="s">
        <v>53</v>
      </c>
      <c r="D648" s="74">
        <v>131</v>
      </c>
      <c r="E648" s="1" t="s">
        <v>73</v>
      </c>
      <c r="F648" s="1" t="s">
        <v>14</v>
      </c>
      <c r="G648" s="1">
        <v>61</v>
      </c>
      <c r="H648" s="1">
        <v>56</v>
      </c>
      <c r="I648" s="1">
        <v>53</v>
      </c>
    </row>
    <row r="649" spans="1:9" x14ac:dyDescent="0.25">
      <c r="A649" s="2" t="s">
        <v>2</v>
      </c>
      <c r="B649" s="1" t="s">
        <v>11</v>
      </c>
      <c r="C649" s="74" t="s">
        <v>53</v>
      </c>
      <c r="D649" s="74">
        <v>132</v>
      </c>
      <c r="E649" s="1" t="s">
        <v>73</v>
      </c>
      <c r="F649" s="1" t="s">
        <v>14</v>
      </c>
      <c r="G649" s="1">
        <v>74</v>
      </c>
      <c r="H649" s="1">
        <v>66</v>
      </c>
      <c r="I649" s="1">
        <v>64</v>
      </c>
    </row>
    <row r="650" spans="1:9" x14ac:dyDescent="0.25">
      <c r="A650" s="2" t="s">
        <v>2</v>
      </c>
      <c r="B650" s="1" t="s">
        <v>11</v>
      </c>
      <c r="C650" s="74" t="s">
        <v>53</v>
      </c>
      <c r="D650" s="74">
        <v>133</v>
      </c>
      <c r="E650" s="1" t="s">
        <v>73</v>
      </c>
      <c r="F650" s="1" t="s">
        <v>14</v>
      </c>
      <c r="G650" s="1">
        <v>64</v>
      </c>
      <c r="H650" s="1">
        <v>56</v>
      </c>
      <c r="I650" s="1">
        <v>52</v>
      </c>
    </row>
    <row r="651" spans="1:9" x14ac:dyDescent="0.25">
      <c r="A651" s="2" t="s">
        <v>2</v>
      </c>
      <c r="B651" s="1" t="s">
        <v>11</v>
      </c>
      <c r="C651" s="74" t="s">
        <v>53</v>
      </c>
      <c r="D651" s="74">
        <v>134</v>
      </c>
      <c r="E651" s="1" t="s">
        <v>73</v>
      </c>
      <c r="F651" s="1" t="s">
        <v>14</v>
      </c>
      <c r="G651" s="1">
        <v>79</v>
      </c>
      <c r="H651" s="1">
        <v>77</v>
      </c>
      <c r="I651" s="1">
        <v>71</v>
      </c>
    </row>
    <row r="652" spans="1:9" x14ac:dyDescent="0.25">
      <c r="A652" s="2" t="s">
        <v>2</v>
      </c>
      <c r="B652" s="1" t="s">
        <v>11</v>
      </c>
      <c r="C652" s="74" t="s">
        <v>53</v>
      </c>
      <c r="D652" s="74">
        <v>135</v>
      </c>
      <c r="E652" s="1" t="s">
        <v>73</v>
      </c>
      <c r="F652" s="1" t="s">
        <v>15</v>
      </c>
      <c r="G652" s="1">
        <v>63</v>
      </c>
      <c r="H652" s="1">
        <v>69</v>
      </c>
      <c r="I652" s="1">
        <v>63</v>
      </c>
    </row>
    <row r="653" spans="1:9" x14ac:dyDescent="0.25">
      <c r="A653" s="2" t="s">
        <v>2</v>
      </c>
      <c r="B653" s="1" t="s">
        <v>11</v>
      </c>
      <c r="C653" s="75" t="s">
        <v>6</v>
      </c>
      <c r="D653" s="75">
        <v>139</v>
      </c>
      <c r="E653" s="1" t="s">
        <v>7</v>
      </c>
      <c r="F653" s="1" t="s">
        <v>14</v>
      </c>
      <c r="G653" s="1">
        <v>69</v>
      </c>
      <c r="H653" s="1">
        <v>67</v>
      </c>
      <c r="I653" s="1">
        <v>63</v>
      </c>
    </row>
    <row r="654" spans="1:9" x14ac:dyDescent="0.25">
      <c r="A654" s="2" t="s">
        <v>2</v>
      </c>
      <c r="B654" s="1" t="s">
        <v>11</v>
      </c>
      <c r="C654" s="75" t="s">
        <v>6</v>
      </c>
      <c r="D654" s="75">
        <v>140</v>
      </c>
      <c r="E654" s="1" t="s">
        <v>7</v>
      </c>
      <c r="F654" s="1" t="s">
        <v>14</v>
      </c>
      <c r="G654" s="1">
        <v>76</v>
      </c>
      <c r="H654" s="1">
        <v>81</v>
      </c>
      <c r="I654" s="1">
        <v>74</v>
      </c>
    </row>
    <row r="655" spans="1:9" x14ac:dyDescent="0.25">
      <c r="A655" s="2" t="s">
        <v>2</v>
      </c>
      <c r="B655" s="1" t="s">
        <v>11</v>
      </c>
      <c r="C655" s="75" t="s">
        <v>6</v>
      </c>
      <c r="D655" s="75">
        <v>141</v>
      </c>
      <c r="E655" s="1" t="s">
        <v>7</v>
      </c>
      <c r="F655" s="1" t="s">
        <v>14</v>
      </c>
      <c r="G655" s="1">
        <v>84</v>
      </c>
      <c r="H655" s="1">
        <v>77</v>
      </c>
      <c r="I655" s="1">
        <v>80</v>
      </c>
    </row>
    <row r="656" spans="1:9" x14ac:dyDescent="0.25">
      <c r="A656" s="2" t="s">
        <v>2</v>
      </c>
      <c r="B656" s="1" t="s">
        <v>11</v>
      </c>
      <c r="C656" s="75" t="s">
        <v>6</v>
      </c>
      <c r="D656" s="75">
        <v>142</v>
      </c>
      <c r="E656" s="1" t="s">
        <v>7</v>
      </c>
      <c r="F656" s="1" t="s">
        <v>14</v>
      </c>
      <c r="G656" s="1">
        <v>88</v>
      </c>
      <c r="H656" s="1">
        <v>66</v>
      </c>
      <c r="I656" s="1">
        <v>73</v>
      </c>
    </row>
    <row r="657" spans="1:9" x14ac:dyDescent="0.25">
      <c r="A657" s="2" t="s">
        <v>2</v>
      </c>
      <c r="B657" s="1" t="s">
        <v>11</v>
      </c>
      <c r="C657" s="75" t="s">
        <v>6</v>
      </c>
      <c r="D657" s="75">
        <v>143</v>
      </c>
      <c r="E657" s="1" t="s">
        <v>7</v>
      </c>
      <c r="F657" s="1" t="s">
        <v>14</v>
      </c>
      <c r="G657" s="1">
        <v>49</v>
      </c>
      <c r="H657" s="1">
        <v>53</v>
      </c>
      <c r="I657" s="1">
        <v>43</v>
      </c>
    </row>
    <row r="658" spans="1:9" x14ac:dyDescent="0.25">
      <c r="A658" s="2" t="s">
        <v>2</v>
      </c>
      <c r="B658" s="1" t="s">
        <v>11</v>
      </c>
      <c r="C658" s="75" t="s">
        <v>6</v>
      </c>
      <c r="D658" s="75">
        <v>144</v>
      </c>
      <c r="E658" s="1" t="s">
        <v>7</v>
      </c>
      <c r="F658" s="1" t="s">
        <v>14</v>
      </c>
      <c r="G658" s="1">
        <v>66</v>
      </c>
      <c r="H658" s="1">
        <v>63</v>
      </c>
      <c r="I658" s="1">
        <v>63</v>
      </c>
    </row>
    <row r="659" spans="1:9" x14ac:dyDescent="0.25">
      <c r="A659" s="2" t="s">
        <v>2</v>
      </c>
      <c r="B659" s="1" t="s">
        <v>11</v>
      </c>
      <c r="C659" s="75" t="s">
        <v>6</v>
      </c>
      <c r="D659" s="75">
        <v>145</v>
      </c>
      <c r="E659" s="1" t="s">
        <v>7</v>
      </c>
      <c r="F659" s="1" t="s">
        <v>14</v>
      </c>
      <c r="G659" s="1">
        <v>31</v>
      </c>
      <c r="H659" s="1">
        <v>27</v>
      </c>
      <c r="I659" s="1">
        <v>19</v>
      </c>
    </row>
    <row r="660" spans="1:9" x14ac:dyDescent="0.25">
      <c r="A660" s="2" t="s">
        <v>2</v>
      </c>
      <c r="B660" s="1" t="s">
        <v>11</v>
      </c>
      <c r="C660" s="75" t="s">
        <v>6</v>
      </c>
      <c r="D660" s="75">
        <v>146</v>
      </c>
      <c r="E660" s="1" t="s">
        <v>7</v>
      </c>
      <c r="F660" s="1" t="s">
        <v>14</v>
      </c>
      <c r="G660" s="1">
        <v>92</v>
      </c>
      <c r="H660" s="1">
        <v>89</v>
      </c>
      <c r="I660" s="1">
        <v>83</v>
      </c>
    </row>
    <row r="661" spans="1:9" x14ac:dyDescent="0.25">
      <c r="A661" s="2" t="s">
        <v>2</v>
      </c>
      <c r="B661" s="1" t="s">
        <v>11</v>
      </c>
      <c r="C661" s="75" t="s">
        <v>6</v>
      </c>
      <c r="D661" s="75">
        <v>147</v>
      </c>
      <c r="E661" s="1" t="s">
        <v>7</v>
      </c>
      <c r="F661" s="1" t="s">
        <v>14</v>
      </c>
      <c r="G661" s="1">
        <v>90</v>
      </c>
      <c r="H661" s="1">
        <v>79</v>
      </c>
      <c r="I661" s="1">
        <v>75</v>
      </c>
    </row>
    <row r="662" spans="1:9" x14ac:dyDescent="0.25">
      <c r="A662" s="2" t="s">
        <v>2</v>
      </c>
      <c r="B662" s="1" t="s">
        <v>11</v>
      </c>
      <c r="C662" s="75" t="s">
        <v>6</v>
      </c>
      <c r="D662" s="75">
        <v>148</v>
      </c>
      <c r="E662" s="1" t="s">
        <v>7</v>
      </c>
      <c r="F662" s="1" t="s">
        <v>14</v>
      </c>
      <c r="G662" s="1">
        <v>64</v>
      </c>
      <c r="H662" s="1">
        <v>62</v>
      </c>
      <c r="I662" s="1">
        <v>61</v>
      </c>
    </row>
    <row r="663" spans="1:9" x14ac:dyDescent="0.25">
      <c r="A663" s="2" t="s">
        <v>2</v>
      </c>
      <c r="B663" s="1" t="s">
        <v>11</v>
      </c>
      <c r="C663" s="75" t="s">
        <v>6</v>
      </c>
      <c r="D663" s="75">
        <v>149</v>
      </c>
      <c r="E663" s="1" t="s">
        <v>7</v>
      </c>
      <c r="F663" s="1" t="s">
        <v>14</v>
      </c>
      <c r="G663" s="1">
        <v>74</v>
      </c>
      <c r="H663" s="1">
        <v>72</v>
      </c>
      <c r="I663" s="1">
        <v>62</v>
      </c>
    </row>
    <row r="664" spans="1:9" x14ac:dyDescent="0.25">
      <c r="A664" s="2" t="s">
        <v>2</v>
      </c>
      <c r="B664" s="1" t="s">
        <v>11</v>
      </c>
      <c r="C664" s="75" t="s">
        <v>6</v>
      </c>
      <c r="D664" s="75">
        <v>150</v>
      </c>
      <c r="E664" s="1" t="s">
        <v>7</v>
      </c>
      <c r="F664" s="1" t="s">
        <v>14</v>
      </c>
      <c r="G664" s="1">
        <v>65</v>
      </c>
      <c r="H664" s="1">
        <v>69</v>
      </c>
      <c r="I664" s="1">
        <v>56</v>
      </c>
    </row>
    <row r="665" spans="1:9" x14ac:dyDescent="0.25">
      <c r="A665" s="2" t="s">
        <v>2</v>
      </c>
      <c r="B665" s="1" t="s">
        <v>11</v>
      </c>
      <c r="C665" s="75" t="s">
        <v>6</v>
      </c>
      <c r="D665" s="75">
        <v>151</v>
      </c>
      <c r="E665" s="1" t="s">
        <v>7</v>
      </c>
      <c r="F665" s="1" t="s">
        <v>14</v>
      </c>
      <c r="G665" s="1">
        <v>77</v>
      </c>
      <c r="H665" s="1">
        <v>70</v>
      </c>
      <c r="I665" s="1">
        <v>60</v>
      </c>
    </row>
    <row r="666" spans="1:9" x14ac:dyDescent="0.25">
      <c r="A666" s="2" t="s">
        <v>2</v>
      </c>
      <c r="B666" s="1" t="s">
        <v>11</v>
      </c>
      <c r="C666" s="75" t="s">
        <v>6</v>
      </c>
      <c r="D666" s="75">
        <v>152</v>
      </c>
      <c r="E666" s="1" t="s">
        <v>7</v>
      </c>
      <c r="F666" s="1" t="s">
        <v>14</v>
      </c>
      <c r="G666" s="1">
        <v>84</v>
      </c>
      <c r="H666" s="1">
        <v>71</v>
      </c>
      <c r="I666" s="1">
        <v>66</v>
      </c>
    </row>
    <row r="667" spans="1:9" x14ac:dyDescent="0.25">
      <c r="A667" s="2" t="s">
        <v>2</v>
      </c>
      <c r="B667" s="1" t="s">
        <v>11</v>
      </c>
      <c r="C667" s="75" t="s">
        <v>6</v>
      </c>
      <c r="D667" s="75">
        <v>153</v>
      </c>
      <c r="E667" s="1" t="s">
        <v>7</v>
      </c>
      <c r="F667" s="1" t="s">
        <v>14</v>
      </c>
      <c r="G667" s="1">
        <v>90</v>
      </c>
      <c r="H667" s="1">
        <v>78</v>
      </c>
      <c r="I667" s="1">
        <v>78</v>
      </c>
    </row>
    <row r="668" spans="1:9" x14ac:dyDescent="0.25">
      <c r="A668" s="2" t="s">
        <v>2</v>
      </c>
      <c r="B668" s="1" t="s">
        <v>11</v>
      </c>
      <c r="C668" s="75" t="s">
        <v>6</v>
      </c>
      <c r="D668" s="75">
        <v>154</v>
      </c>
      <c r="E668" s="1" t="s">
        <v>7</v>
      </c>
      <c r="F668" s="1" t="s">
        <v>14</v>
      </c>
      <c r="G668" s="1">
        <v>69</v>
      </c>
      <c r="H668" s="1">
        <v>58</v>
      </c>
      <c r="I668" s="1">
        <v>52</v>
      </c>
    </row>
    <row r="669" spans="1:9" x14ac:dyDescent="0.25">
      <c r="A669" s="2" t="s">
        <v>2</v>
      </c>
      <c r="B669" s="1" t="s">
        <v>11</v>
      </c>
      <c r="C669" s="75" t="s">
        <v>6</v>
      </c>
      <c r="D669" s="75">
        <v>155</v>
      </c>
      <c r="E669" s="1" t="s">
        <v>7</v>
      </c>
      <c r="F669" s="1" t="s">
        <v>14</v>
      </c>
      <c r="G669" s="1">
        <v>79</v>
      </c>
      <c r="H669" s="1">
        <v>72</v>
      </c>
      <c r="I669" s="1">
        <v>72</v>
      </c>
    </row>
    <row r="670" spans="1:9" x14ac:dyDescent="0.25">
      <c r="A670" s="2" t="s">
        <v>2</v>
      </c>
      <c r="B670" s="1" t="s">
        <v>11</v>
      </c>
      <c r="C670" s="75" t="s">
        <v>6</v>
      </c>
      <c r="D670" s="75">
        <v>156</v>
      </c>
      <c r="E670" s="1" t="s">
        <v>7</v>
      </c>
      <c r="F670" s="1" t="s">
        <v>14</v>
      </c>
      <c r="G670" s="1">
        <v>65</v>
      </c>
      <c r="H670" s="1">
        <v>70</v>
      </c>
      <c r="I670" s="1">
        <v>57</v>
      </c>
    </row>
    <row r="671" spans="1:9" x14ac:dyDescent="0.25">
      <c r="A671" s="2" t="s">
        <v>2</v>
      </c>
      <c r="B671" s="1" t="s">
        <v>11</v>
      </c>
      <c r="C671" s="75" t="s">
        <v>6</v>
      </c>
      <c r="D671" s="75">
        <v>157</v>
      </c>
      <c r="E671" s="1" t="s">
        <v>7</v>
      </c>
      <c r="F671" s="1" t="s">
        <v>15</v>
      </c>
      <c r="G671" s="1">
        <v>78</v>
      </c>
      <c r="H671" s="1">
        <v>81</v>
      </c>
      <c r="I671" s="1">
        <v>80</v>
      </c>
    </row>
    <row r="672" spans="1:9" x14ac:dyDescent="0.25">
      <c r="A672" s="2" t="s">
        <v>2</v>
      </c>
      <c r="B672" s="1" t="s">
        <v>11</v>
      </c>
      <c r="C672" s="75" t="s">
        <v>6</v>
      </c>
      <c r="D672" s="75">
        <v>158</v>
      </c>
      <c r="E672" s="1" t="s">
        <v>7</v>
      </c>
      <c r="F672" s="1" t="s">
        <v>15</v>
      </c>
      <c r="G672" s="1">
        <v>88</v>
      </c>
      <c r="H672" s="1">
        <v>75</v>
      </c>
      <c r="I672" s="1">
        <v>72</v>
      </c>
    </row>
    <row r="673" spans="1:9" x14ac:dyDescent="0.25">
      <c r="A673" s="2" t="s">
        <v>2</v>
      </c>
      <c r="B673" s="1" t="s">
        <v>11</v>
      </c>
      <c r="C673" s="75" t="s">
        <v>6</v>
      </c>
      <c r="D673" s="75">
        <v>159</v>
      </c>
      <c r="E673" s="1" t="s">
        <v>7</v>
      </c>
      <c r="F673" s="1" t="s">
        <v>15</v>
      </c>
      <c r="G673" s="1">
        <v>64</v>
      </c>
      <c r="H673" s="1">
        <v>66</v>
      </c>
      <c r="I673" s="1">
        <v>69</v>
      </c>
    </row>
    <row r="674" spans="1:9" x14ac:dyDescent="0.25">
      <c r="A674" s="2" t="s">
        <v>2</v>
      </c>
      <c r="B674" s="1" t="s">
        <v>11</v>
      </c>
      <c r="C674" s="75" t="s">
        <v>6</v>
      </c>
      <c r="D674" s="75">
        <v>160</v>
      </c>
      <c r="E674" s="1" t="s">
        <v>7</v>
      </c>
      <c r="F674" s="1" t="s">
        <v>15</v>
      </c>
      <c r="G674" s="1">
        <v>72</v>
      </c>
      <c r="H674" s="1">
        <v>67</v>
      </c>
      <c r="I674" s="1">
        <v>67</v>
      </c>
    </row>
    <row r="675" spans="1:9" x14ac:dyDescent="0.25">
      <c r="A675" s="2" t="s">
        <v>2</v>
      </c>
      <c r="B675" s="1" t="s">
        <v>11</v>
      </c>
      <c r="C675" s="75" t="s">
        <v>6</v>
      </c>
      <c r="D675" s="75">
        <v>161</v>
      </c>
      <c r="E675" s="1" t="s">
        <v>7</v>
      </c>
      <c r="F675" s="1" t="s">
        <v>15</v>
      </c>
      <c r="G675" s="1">
        <v>67</v>
      </c>
      <c r="H675" s="1">
        <v>63</v>
      </c>
      <c r="I675" s="1">
        <v>67</v>
      </c>
    </row>
    <row r="676" spans="1:9" x14ac:dyDescent="0.25">
      <c r="A676" s="2" t="s">
        <v>2</v>
      </c>
      <c r="B676" s="1" t="s">
        <v>11</v>
      </c>
      <c r="C676" s="75" t="s">
        <v>6</v>
      </c>
      <c r="D676" s="75">
        <v>162</v>
      </c>
      <c r="E676" s="1" t="s">
        <v>7</v>
      </c>
      <c r="F676" s="1" t="s">
        <v>15</v>
      </c>
      <c r="G676" s="1">
        <v>75</v>
      </c>
      <c r="H676" s="1">
        <v>69</v>
      </c>
      <c r="I676" s="1">
        <v>67</v>
      </c>
    </row>
    <row r="677" spans="1:9" x14ac:dyDescent="0.25">
      <c r="A677" s="2" t="s">
        <v>2</v>
      </c>
      <c r="B677" s="1" t="s">
        <v>11</v>
      </c>
      <c r="C677" s="75" t="s">
        <v>6</v>
      </c>
      <c r="D677" s="75">
        <v>163</v>
      </c>
      <c r="E677" s="1" t="s">
        <v>7</v>
      </c>
      <c r="F677" s="1" t="s">
        <v>15</v>
      </c>
      <c r="G677" s="1">
        <v>72</v>
      </c>
      <c r="H677" s="1">
        <v>63</v>
      </c>
      <c r="I677" s="1">
        <v>66</v>
      </c>
    </row>
    <row r="678" spans="1:9" x14ac:dyDescent="0.25">
      <c r="A678" s="2" t="s">
        <v>2</v>
      </c>
      <c r="B678" s="1" t="s">
        <v>11</v>
      </c>
      <c r="C678" s="75" t="s">
        <v>6</v>
      </c>
      <c r="D678" s="75">
        <v>164</v>
      </c>
      <c r="E678" s="1" t="s">
        <v>73</v>
      </c>
      <c r="F678" s="1" t="s">
        <v>14</v>
      </c>
      <c r="G678" s="1">
        <v>66</v>
      </c>
      <c r="H678" s="1">
        <v>66</v>
      </c>
      <c r="I678" s="1">
        <v>62</v>
      </c>
    </row>
    <row r="679" spans="1:9" x14ac:dyDescent="0.25">
      <c r="A679" s="2" t="s">
        <v>2</v>
      </c>
      <c r="B679" s="1" t="s">
        <v>11</v>
      </c>
      <c r="C679" s="75" t="s">
        <v>6</v>
      </c>
      <c r="D679" s="75">
        <v>165</v>
      </c>
      <c r="E679" s="1" t="s">
        <v>73</v>
      </c>
      <c r="F679" s="1" t="s">
        <v>14</v>
      </c>
      <c r="G679" s="1">
        <v>75</v>
      </c>
      <c r="H679" s="1">
        <v>77</v>
      </c>
      <c r="I679" s="1">
        <v>66</v>
      </c>
    </row>
    <row r="680" spans="1:9" x14ac:dyDescent="0.25">
      <c r="A680" s="2" t="s">
        <v>2</v>
      </c>
      <c r="B680" s="1" t="s">
        <v>11</v>
      </c>
      <c r="C680" s="75" t="s">
        <v>6</v>
      </c>
      <c r="D680" s="75">
        <v>166</v>
      </c>
      <c r="E680" s="1" t="s">
        <v>73</v>
      </c>
      <c r="F680" s="1" t="s">
        <v>14</v>
      </c>
      <c r="G680" s="1">
        <v>66</v>
      </c>
      <c r="H680" s="1">
        <v>66</v>
      </c>
      <c r="I680" s="1">
        <v>58</v>
      </c>
    </row>
    <row r="681" spans="1:9" x14ac:dyDescent="0.25">
      <c r="A681" s="2" t="s">
        <v>2</v>
      </c>
      <c r="B681" s="1" t="s">
        <v>11</v>
      </c>
      <c r="C681" s="75" t="s">
        <v>6</v>
      </c>
      <c r="D681" s="75">
        <v>167</v>
      </c>
      <c r="E681" s="1" t="s">
        <v>73</v>
      </c>
      <c r="F681" s="1" t="s">
        <v>14</v>
      </c>
      <c r="G681" s="1">
        <v>20</v>
      </c>
      <c r="H681" s="1">
        <v>25</v>
      </c>
      <c r="I681" s="1">
        <v>15</v>
      </c>
    </row>
    <row r="682" spans="1:9" x14ac:dyDescent="0.25">
      <c r="A682" s="2" t="s">
        <v>2</v>
      </c>
      <c r="B682" s="1" t="s">
        <v>11</v>
      </c>
      <c r="C682" s="75" t="s">
        <v>6</v>
      </c>
      <c r="D682" s="75">
        <v>168</v>
      </c>
      <c r="E682" s="1" t="s">
        <v>73</v>
      </c>
      <c r="F682" s="1" t="s">
        <v>14</v>
      </c>
      <c r="G682" s="1">
        <v>75</v>
      </c>
      <c r="H682" s="1">
        <v>79</v>
      </c>
      <c r="I682" s="1">
        <v>68</v>
      </c>
    </row>
    <row r="683" spans="1:9" x14ac:dyDescent="0.25">
      <c r="A683" s="2" t="s">
        <v>2</v>
      </c>
      <c r="B683" s="1" t="s">
        <v>11</v>
      </c>
      <c r="C683" s="75" t="s">
        <v>6</v>
      </c>
      <c r="D683" s="75">
        <v>169</v>
      </c>
      <c r="E683" s="1" t="s">
        <v>73</v>
      </c>
      <c r="F683" s="1" t="s">
        <v>14</v>
      </c>
      <c r="G683" s="1">
        <v>51</v>
      </c>
      <c r="H683" s="1">
        <v>57</v>
      </c>
      <c r="I683" s="1">
        <v>44</v>
      </c>
    </row>
    <row r="684" spans="1:9" x14ac:dyDescent="0.25">
      <c r="A684" s="2" t="s">
        <v>2</v>
      </c>
      <c r="B684" s="1" t="s">
        <v>11</v>
      </c>
      <c r="C684" s="75" t="s">
        <v>6</v>
      </c>
      <c r="D684" s="75">
        <v>170</v>
      </c>
      <c r="E684" s="1" t="s">
        <v>73</v>
      </c>
      <c r="F684" s="1" t="s">
        <v>14</v>
      </c>
      <c r="G684" s="1">
        <v>72</v>
      </c>
      <c r="H684" s="1">
        <v>68</v>
      </c>
      <c r="I684" s="1">
        <v>62</v>
      </c>
    </row>
    <row r="685" spans="1:9" x14ac:dyDescent="0.25">
      <c r="A685" s="2" t="s">
        <v>2</v>
      </c>
      <c r="B685" s="1" t="s">
        <v>11</v>
      </c>
      <c r="C685" s="75" t="s">
        <v>6</v>
      </c>
      <c r="D685" s="75">
        <v>171</v>
      </c>
      <c r="E685" s="1" t="s">
        <v>73</v>
      </c>
      <c r="F685" s="1" t="s">
        <v>14</v>
      </c>
      <c r="G685" s="1">
        <v>34</v>
      </c>
      <c r="H685" s="1">
        <v>37</v>
      </c>
      <c r="I685" s="1">
        <v>27</v>
      </c>
    </row>
    <row r="686" spans="1:9" x14ac:dyDescent="0.25">
      <c r="A686" s="2" t="s">
        <v>2</v>
      </c>
      <c r="B686" s="1" t="s">
        <v>11</v>
      </c>
      <c r="C686" s="75" t="s">
        <v>6</v>
      </c>
      <c r="D686" s="75">
        <v>172</v>
      </c>
      <c r="E686" s="1" t="s">
        <v>73</v>
      </c>
      <c r="F686" s="1" t="s">
        <v>14</v>
      </c>
      <c r="G686" s="1">
        <v>45</v>
      </c>
      <c r="H686" s="1">
        <v>43</v>
      </c>
      <c r="I686" s="1">
        <v>47</v>
      </c>
    </row>
    <row r="687" spans="1:9" x14ac:dyDescent="0.25">
      <c r="A687" s="2" t="s">
        <v>2</v>
      </c>
      <c r="B687" s="1" t="s">
        <v>11</v>
      </c>
      <c r="C687" s="75" t="s">
        <v>6</v>
      </c>
      <c r="D687" s="75">
        <v>173</v>
      </c>
      <c r="E687" s="1" t="s">
        <v>73</v>
      </c>
      <c r="F687" s="1" t="s">
        <v>14</v>
      </c>
      <c r="G687" s="1">
        <v>56</v>
      </c>
      <c r="H687" s="1">
        <v>67</v>
      </c>
      <c r="I687" s="1">
        <v>62</v>
      </c>
    </row>
    <row r="688" spans="1:9" x14ac:dyDescent="0.25">
      <c r="A688" s="2" t="s">
        <v>2</v>
      </c>
      <c r="B688" s="1" t="s">
        <v>11</v>
      </c>
      <c r="C688" s="75" t="s">
        <v>6</v>
      </c>
      <c r="D688" s="75">
        <v>174</v>
      </c>
      <c r="E688" s="1" t="s">
        <v>73</v>
      </c>
      <c r="F688" s="1" t="s">
        <v>14</v>
      </c>
      <c r="G688" s="1">
        <v>59</v>
      </c>
      <c r="H688" s="1">
        <v>60</v>
      </c>
      <c r="I688" s="1">
        <v>56</v>
      </c>
    </row>
    <row r="689" spans="1:9" x14ac:dyDescent="0.25">
      <c r="A689" s="2" t="s">
        <v>2</v>
      </c>
      <c r="B689" s="1" t="s">
        <v>11</v>
      </c>
      <c r="C689" s="75" t="s">
        <v>6</v>
      </c>
      <c r="D689" s="75">
        <v>175</v>
      </c>
      <c r="E689" s="1" t="s">
        <v>73</v>
      </c>
      <c r="F689" s="1" t="s">
        <v>15</v>
      </c>
      <c r="G689" s="1">
        <v>64</v>
      </c>
      <c r="H689" s="1">
        <v>71</v>
      </c>
      <c r="I689" s="1">
        <v>68</v>
      </c>
    </row>
    <row r="690" spans="1:9" x14ac:dyDescent="0.25">
      <c r="A690" s="2" t="s">
        <v>2</v>
      </c>
      <c r="B690" s="1" t="s">
        <v>11</v>
      </c>
      <c r="C690" s="75" t="s">
        <v>6</v>
      </c>
      <c r="D690" s="75">
        <v>176</v>
      </c>
      <c r="E690" s="1" t="s">
        <v>73</v>
      </c>
      <c r="F690" s="1" t="s">
        <v>15</v>
      </c>
      <c r="G690" s="1">
        <v>54</v>
      </c>
      <c r="H690" s="1">
        <v>53</v>
      </c>
      <c r="I690" s="1">
        <v>51</v>
      </c>
    </row>
    <row r="691" spans="1:9" x14ac:dyDescent="0.25">
      <c r="A691" s="2" t="s">
        <v>2</v>
      </c>
      <c r="B691" s="1" t="s">
        <v>11</v>
      </c>
      <c r="C691" s="75" t="s">
        <v>6</v>
      </c>
      <c r="D691" s="75">
        <v>177</v>
      </c>
      <c r="E691" s="1" t="s">
        <v>73</v>
      </c>
      <c r="F691" s="1" t="s">
        <v>15</v>
      </c>
      <c r="G691" s="1">
        <v>41</v>
      </c>
      <c r="H691" s="1">
        <v>57</v>
      </c>
      <c r="I691" s="1">
        <v>55</v>
      </c>
    </row>
    <row r="692" spans="1:9" x14ac:dyDescent="0.25">
      <c r="A692" s="2" t="s">
        <v>2</v>
      </c>
      <c r="B692" s="1" t="s">
        <v>11</v>
      </c>
      <c r="C692" s="75" t="s">
        <v>6</v>
      </c>
      <c r="D692" s="75">
        <v>178</v>
      </c>
      <c r="E692" s="1" t="s">
        <v>73</v>
      </c>
      <c r="F692" s="1" t="s">
        <v>15</v>
      </c>
      <c r="G692" s="1">
        <v>77</v>
      </c>
      <c r="H692" s="1">
        <v>80</v>
      </c>
      <c r="I692" s="1">
        <v>74</v>
      </c>
    </row>
    <row r="693" spans="1:9" x14ac:dyDescent="0.25">
      <c r="A693" s="2" t="s">
        <v>2</v>
      </c>
      <c r="B693" s="1" t="s">
        <v>11</v>
      </c>
      <c r="C693" s="76" t="s">
        <v>54</v>
      </c>
      <c r="D693" s="76">
        <v>130</v>
      </c>
      <c r="E693" s="1" t="s">
        <v>7</v>
      </c>
      <c r="F693" s="1" t="s">
        <v>14</v>
      </c>
      <c r="G693" s="1">
        <v>88</v>
      </c>
      <c r="H693" s="1">
        <v>80</v>
      </c>
      <c r="I693" s="1">
        <v>81</v>
      </c>
    </row>
    <row r="694" spans="1:9" x14ac:dyDescent="0.25">
      <c r="A694" s="2" t="s">
        <v>2</v>
      </c>
      <c r="B694" s="1" t="s">
        <v>11</v>
      </c>
      <c r="C694" s="76" t="s">
        <v>54</v>
      </c>
      <c r="D694" s="76">
        <v>131</v>
      </c>
      <c r="E694" s="1" t="s">
        <v>7</v>
      </c>
      <c r="F694" s="1" t="s">
        <v>14</v>
      </c>
      <c r="G694" s="1">
        <v>49</v>
      </c>
      <c r="H694" s="1">
        <v>53</v>
      </c>
      <c r="I694" s="1">
        <v>47</v>
      </c>
    </row>
    <row r="695" spans="1:9" x14ac:dyDescent="0.25">
      <c r="A695" s="2" t="s">
        <v>2</v>
      </c>
      <c r="B695" s="1" t="s">
        <v>11</v>
      </c>
      <c r="C695" s="76" t="s">
        <v>54</v>
      </c>
      <c r="D695" s="76">
        <v>132</v>
      </c>
      <c r="E695" s="1" t="s">
        <v>7</v>
      </c>
      <c r="F695" s="1" t="s">
        <v>14</v>
      </c>
      <c r="G695" s="1">
        <v>65</v>
      </c>
      <c r="H695" s="1">
        <v>63</v>
      </c>
      <c r="I695" s="1">
        <v>57</v>
      </c>
    </row>
    <row r="696" spans="1:9" x14ac:dyDescent="0.25">
      <c r="A696" s="2" t="s">
        <v>2</v>
      </c>
      <c r="B696" s="1" t="s">
        <v>11</v>
      </c>
      <c r="C696" s="76" t="s">
        <v>54</v>
      </c>
      <c r="D696" s="76">
        <v>133</v>
      </c>
      <c r="E696" s="1" t="s">
        <v>7</v>
      </c>
      <c r="F696" s="1" t="s">
        <v>14</v>
      </c>
      <c r="G696" s="1">
        <v>91</v>
      </c>
      <c r="H696" s="1">
        <v>84</v>
      </c>
      <c r="I696" s="1">
        <v>77</v>
      </c>
    </row>
    <row r="697" spans="1:9" x14ac:dyDescent="0.25">
      <c r="A697" s="2" t="s">
        <v>2</v>
      </c>
      <c r="B697" s="1" t="s">
        <v>11</v>
      </c>
      <c r="C697" s="76" t="s">
        <v>54</v>
      </c>
      <c r="D697" s="76">
        <v>134</v>
      </c>
      <c r="E697" s="1" t="s">
        <v>7</v>
      </c>
      <c r="F697" s="1" t="s">
        <v>14</v>
      </c>
      <c r="G697" s="1">
        <v>50</v>
      </c>
      <c r="H697" s="1">
        <v>42</v>
      </c>
      <c r="I697" s="1">
        <v>35</v>
      </c>
    </row>
    <row r="698" spans="1:9" x14ac:dyDescent="0.25">
      <c r="A698" s="2" t="s">
        <v>2</v>
      </c>
      <c r="B698" s="1" t="s">
        <v>11</v>
      </c>
      <c r="C698" s="76" t="s">
        <v>54</v>
      </c>
      <c r="D698" s="76">
        <v>135</v>
      </c>
      <c r="E698" s="1" t="s">
        <v>7</v>
      </c>
      <c r="F698" s="1" t="s">
        <v>14</v>
      </c>
      <c r="G698" s="1">
        <v>76</v>
      </c>
      <c r="H698" s="1">
        <v>61</v>
      </c>
      <c r="I698" s="1">
        <v>62</v>
      </c>
    </row>
    <row r="699" spans="1:9" x14ac:dyDescent="0.25">
      <c r="A699" s="2" t="s">
        <v>2</v>
      </c>
      <c r="B699" s="1" t="s">
        <v>11</v>
      </c>
      <c r="C699" s="76" t="s">
        <v>54</v>
      </c>
      <c r="D699" s="76">
        <v>136</v>
      </c>
      <c r="E699" s="1" t="s">
        <v>7</v>
      </c>
      <c r="F699" s="1" t="s">
        <v>14</v>
      </c>
      <c r="G699" s="1">
        <v>81</v>
      </c>
      <c r="H699" s="1">
        <v>77</v>
      </c>
      <c r="I699" s="1">
        <v>71</v>
      </c>
    </row>
    <row r="700" spans="1:9" x14ac:dyDescent="0.25">
      <c r="A700" s="2" t="s">
        <v>2</v>
      </c>
      <c r="B700" s="1" t="s">
        <v>11</v>
      </c>
      <c r="C700" s="76" t="s">
        <v>54</v>
      </c>
      <c r="D700" s="76">
        <v>137</v>
      </c>
      <c r="E700" s="1" t="s">
        <v>7</v>
      </c>
      <c r="F700" s="1" t="s">
        <v>14</v>
      </c>
      <c r="G700" s="1">
        <v>80</v>
      </c>
      <c r="H700" s="1">
        <v>76</v>
      </c>
      <c r="I700" s="1">
        <v>74</v>
      </c>
    </row>
    <row r="701" spans="1:9" x14ac:dyDescent="0.25">
      <c r="A701" s="2" t="s">
        <v>2</v>
      </c>
      <c r="B701" s="1" t="s">
        <v>11</v>
      </c>
      <c r="C701" s="76" t="s">
        <v>54</v>
      </c>
      <c r="D701" s="76">
        <v>138</v>
      </c>
      <c r="E701" s="1" t="s">
        <v>7</v>
      </c>
      <c r="F701" s="1" t="s">
        <v>14</v>
      </c>
      <c r="G701" s="1">
        <v>76</v>
      </c>
      <c r="H701" s="1">
        <v>72</v>
      </c>
      <c r="I701" s="1">
        <v>73</v>
      </c>
    </row>
    <row r="702" spans="1:9" x14ac:dyDescent="0.25">
      <c r="A702" s="2" t="s">
        <v>2</v>
      </c>
      <c r="B702" s="1" t="s">
        <v>11</v>
      </c>
      <c r="C702" s="76" t="s">
        <v>54</v>
      </c>
      <c r="D702" s="76">
        <v>139</v>
      </c>
      <c r="E702" s="1" t="s">
        <v>7</v>
      </c>
      <c r="F702" s="1" t="s">
        <v>14</v>
      </c>
      <c r="G702" s="1">
        <v>76</v>
      </c>
      <c r="H702" s="1">
        <v>74</v>
      </c>
      <c r="I702" s="1">
        <v>67</v>
      </c>
    </row>
    <row r="703" spans="1:9" x14ac:dyDescent="0.25">
      <c r="A703" s="2" t="s">
        <v>2</v>
      </c>
      <c r="B703" s="1" t="s">
        <v>11</v>
      </c>
      <c r="C703" s="76" t="s">
        <v>54</v>
      </c>
      <c r="D703" s="76">
        <v>140</v>
      </c>
      <c r="E703" s="1" t="s">
        <v>7</v>
      </c>
      <c r="F703" s="1" t="s">
        <v>15</v>
      </c>
      <c r="G703" s="1">
        <v>76</v>
      </c>
      <c r="H703" s="1">
        <v>82</v>
      </c>
      <c r="I703" s="1">
        <v>77</v>
      </c>
    </row>
    <row r="704" spans="1:9" x14ac:dyDescent="0.25">
      <c r="A704" s="2" t="s">
        <v>2</v>
      </c>
      <c r="B704" s="1" t="s">
        <v>11</v>
      </c>
      <c r="C704" s="76" t="s">
        <v>54</v>
      </c>
      <c r="D704" s="76">
        <v>141</v>
      </c>
      <c r="E704" s="1" t="s">
        <v>73</v>
      </c>
      <c r="F704" s="1" t="s">
        <v>14</v>
      </c>
      <c r="G704" s="1">
        <v>57</v>
      </c>
      <c r="H704" s="1">
        <v>58</v>
      </c>
      <c r="I704" s="1">
        <v>51</v>
      </c>
    </row>
    <row r="705" spans="1:9" x14ac:dyDescent="0.25">
      <c r="A705" s="2" t="s">
        <v>2</v>
      </c>
      <c r="B705" s="1" t="s">
        <v>11</v>
      </c>
      <c r="C705" s="76" t="s">
        <v>54</v>
      </c>
      <c r="D705" s="76">
        <v>142</v>
      </c>
      <c r="E705" s="1" t="s">
        <v>73</v>
      </c>
      <c r="F705" s="1" t="s">
        <v>14</v>
      </c>
      <c r="G705" s="1">
        <v>72</v>
      </c>
      <c r="H705" s="1">
        <v>80</v>
      </c>
      <c r="I705" s="1">
        <v>75</v>
      </c>
    </row>
    <row r="706" spans="1:9" x14ac:dyDescent="0.25">
      <c r="A706" s="2" t="s">
        <v>2</v>
      </c>
      <c r="B706" s="1" t="s">
        <v>11</v>
      </c>
      <c r="C706" s="76" t="s">
        <v>54</v>
      </c>
      <c r="D706" s="76">
        <v>143</v>
      </c>
      <c r="E706" s="1" t="s">
        <v>73</v>
      </c>
      <c r="F706" s="1" t="s">
        <v>14</v>
      </c>
      <c r="G706" s="1">
        <v>73</v>
      </c>
      <c r="H706" s="1">
        <v>66</v>
      </c>
      <c r="I706" s="1">
        <v>68</v>
      </c>
    </row>
    <row r="707" spans="1:9" x14ac:dyDescent="0.25">
      <c r="A707" s="2" t="s">
        <v>2</v>
      </c>
      <c r="B707" s="1" t="s">
        <v>11</v>
      </c>
      <c r="C707" s="76" t="s">
        <v>54</v>
      </c>
      <c r="D707" s="76">
        <v>144</v>
      </c>
      <c r="E707" s="1" t="s">
        <v>73</v>
      </c>
      <c r="F707" s="1" t="s">
        <v>14</v>
      </c>
      <c r="G707" s="1">
        <v>39</v>
      </c>
      <c r="H707" s="1">
        <v>44</v>
      </c>
      <c r="I707" s="1">
        <v>36</v>
      </c>
    </row>
    <row r="708" spans="1:9" x14ac:dyDescent="0.25">
      <c r="A708" s="2" t="s">
        <v>2</v>
      </c>
      <c r="B708" s="1" t="s">
        <v>11</v>
      </c>
      <c r="C708" s="76" t="s">
        <v>54</v>
      </c>
      <c r="D708" s="76">
        <v>145</v>
      </c>
      <c r="E708" s="1" t="s">
        <v>73</v>
      </c>
      <c r="F708" s="1" t="s">
        <v>14</v>
      </c>
      <c r="G708" s="1">
        <v>62</v>
      </c>
      <c r="H708" s="1">
        <v>55</v>
      </c>
      <c r="I708" s="1">
        <v>50</v>
      </c>
    </row>
    <row r="709" spans="1:9" x14ac:dyDescent="0.25">
      <c r="A709" s="2" t="s">
        <v>2</v>
      </c>
      <c r="B709" s="1" t="s">
        <v>11</v>
      </c>
      <c r="C709" s="76" t="s">
        <v>54</v>
      </c>
      <c r="D709" s="76">
        <v>146</v>
      </c>
      <c r="E709" s="1" t="s">
        <v>73</v>
      </c>
      <c r="F709" s="1" t="s">
        <v>14</v>
      </c>
      <c r="G709" s="1">
        <v>82</v>
      </c>
      <c r="H709" s="1">
        <v>86</v>
      </c>
      <c r="I709" s="1">
        <v>78</v>
      </c>
    </row>
    <row r="710" spans="1:9" x14ac:dyDescent="0.25">
      <c r="A710" s="2" t="s">
        <v>2</v>
      </c>
      <c r="B710" s="1" t="s">
        <v>11</v>
      </c>
      <c r="C710" s="76" t="s">
        <v>54</v>
      </c>
      <c r="D710" s="76">
        <v>147</v>
      </c>
      <c r="E710" s="1" t="s">
        <v>73</v>
      </c>
      <c r="F710" s="1" t="s">
        <v>14</v>
      </c>
      <c r="G710" s="1">
        <v>82</v>
      </c>
      <c r="H710" s="1">
        <v>73</v>
      </c>
      <c r="I710" s="1">
        <v>74</v>
      </c>
    </row>
    <row r="711" spans="1:9" x14ac:dyDescent="0.25">
      <c r="A711" s="2" t="s">
        <v>2</v>
      </c>
      <c r="B711" s="1" t="s">
        <v>11</v>
      </c>
      <c r="C711" s="76" t="s">
        <v>54</v>
      </c>
      <c r="D711" s="76">
        <v>148</v>
      </c>
      <c r="E711" s="1" t="s">
        <v>73</v>
      </c>
      <c r="F711" s="1" t="s">
        <v>14</v>
      </c>
      <c r="G711" s="1">
        <v>59</v>
      </c>
      <c r="H711" s="1">
        <v>64</v>
      </c>
      <c r="I711" s="1">
        <v>60</v>
      </c>
    </row>
    <row r="712" spans="1:9" x14ac:dyDescent="0.25">
      <c r="A712" s="2" t="s">
        <v>2</v>
      </c>
      <c r="B712" s="1" t="s">
        <v>11</v>
      </c>
      <c r="C712" s="76" t="s">
        <v>54</v>
      </c>
      <c r="D712" s="76">
        <v>149</v>
      </c>
      <c r="E712" s="1" t="s">
        <v>73</v>
      </c>
      <c r="F712" s="1" t="s">
        <v>15</v>
      </c>
      <c r="G712" s="1">
        <v>74</v>
      </c>
      <c r="H712" s="1">
        <v>85</v>
      </c>
      <c r="I712" s="1">
        <v>87</v>
      </c>
    </row>
    <row r="713" spans="1:9" x14ac:dyDescent="0.25">
      <c r="A713" s="2" t="s">
        <v>2</v>
      </c>
      <c r="B713" s="1" t="s">
        <v>11</v>
      </c>
      <c r="C713" s="76" t="s">
        <v>54</v>
      </c>
      <c r="D713" s="76">
        <v>150</v>
      </c>
      <c r="E713" s="1" t="s">
        <v>73</v>
      </c>
      <c r="F713" s="1" t="s">
        <v>15</v>
      </c>
      <c r="G713" s="1">
        <v>46</v>
      </c>
      <c r="H713" s="1">
        <v>46</v>
      </c>
      <c r="I713" s="1">
        <v>48</v>
      </c>
    </row>
    <row r="714" spans="1:9" x14ac:dyDescent="0.25">
      <c r="A714" s="2" t="s">
        <v>2</v>
      </c>
      <c r="B714" s="1" t="s">
        <v>11</v>
      </c>
      <c r="C714" s="76" t="s">
        <v>54</v>
      </c>
      <c r="D714" s="76">
        <v>151</v>
      </c>
      <c r="E714" s="1" t="s">
        <v>73</v>
      </c>
      <c r="F714" s="1" t="s">
        <v>15</v>
      </c>
      <c r="G714" s="1">
        <v>72</v>
      </c>
      <c r="H714" s="1">
        <v>67</v>
      </c>
      <c r="I714" s="1">
        <v>61</v>
      </c>
    </row>
    <row r="715" spans="1:9" x14ac:dyDescent="0.25">
      <c r="A715" s="2" t="s">
        <v>2</v>
      </c>
      <c r="B715" s="1" t="s">
        <v>11</v>
      </c>
      <c r="C715" s="76" t="s">
        <v>54</v>
      </c>
      <c r="D715" s="76">
        <v>152</v>
      </c>
      <c r="E715" s="1" t="s">
        <v>73</v>
      </c>
      <c r="F715" s="1" t="s">
        <v>15</v>
      </c>
      <c r="G715" s="1">
        <v>61</v>
      </c>
      <c r="H715" s="1">
        <v>58</v>
      </c>
      <c r="I715" s="1">
        <v>56</v>
      </c>
    </row>
    <row r="716" spans="1:9" x14ac:dyDescent="0.25">
      <c r="A716" s="2" t="s">
        <v>2</v>
      </c>
      <c r="B716" s="1" t="s">
        <v>11</v>
      </c>
      <c r="C716" s="76" t="s">
        <v>54</v>
      </c>
      <c r="D716" s="76">
        <v>153</v>
      </c>
      <c r="E716" s="1" t="s">
        <v>73</v>
      </c>
      <c r="F716" s="1" t="s">
        <v>15</v>
      </c>
      <c r="G716" s="1">
        <v>87</v>
      </c>
      <c r="H716" s="1">
        <v>82</v>
      </c>
      <c r="I716" s="1">
        <v>79</v>
      </c>
    </row>
    <row r="717" spans="1:9" x14ac:dyDescent="0.25">
      <c r="A717" s="2" t="s">
        <v>2</v>
      </c>
      <c r="B717" s="1" t="s">
        <v>11</v>
      </c>
      <c r="C717" s="76" t="s">
        <v>54</v>
      </c>
      <c r="D717" s="76">
        <v>154</v>
      </c>
      <c r="E717" s="1" t="s">
        <v>73</v>
      </c>
      <c r="F717" s="1" t="s">
        <v>15</v>
      </c>
      <c r="G717" s="1">
        <v>61</v>
      </c>
      <c r="H717" s="1">
        <v>69</v>
      </c>
      <c r="I717" s="1">
        <v>62</v>
      </c>
    </row>
    <row r="718" spans="1:9" x14ac:dyDescent="0.25">
      <c r="A718" s="2" t="s">
        <v>2</v>
      </c>
      <c r="B718" s="1" t="s">
        <v>11</v>
      </c>
      <c r="C718" s="76" t="s">
        <v>54</v>
      </c>
      <c r="D718" s="76">
        <v>155</v>
      </c>
      <c r="E718" s="1" t="s">
        <v>73</v>
      </c>
      <c r="F718" s="1" t="s">
        <v>15</v>
      </c>
      <c r="G718" s="1">
        <v>60</v>
      </c>
      <c r="H718" s="1">
        <v>57</v>
      </c>
      <c r="I718" s="1">
        <v>61</v>
      </c>
    </row>
    <row r="719" spans="1:9" x14ac:dyDescent="0.25">
      <c r="A719" s="2" t="s">
        <v>2</v>
      </c>
      <c r="B719" s="1" t="s">
        <v>11</v>
      </c>
      <c r="C719" s="76" t="s">
        <v>54</v>
      </c>
      <c r="D719" s="76">
        <v>156</v>
      </c>
      <c r="E719" s="1" t="s">
        <v>73</v>
      </c>
      <c r="F719" s="1" t="s">
        <v>15</v>
      </c>
      <c r="G719" s="1">
        <v>59</v>
      </c>
      <c r="H719" s="1">
        <v>68</v>
      </c>
      <c r="I719" s="1">
        <v>66</v>
      </c>
    </row>
    <row r="720" spans="1:9" x14ac:dyDescent="0.25">
      <c r="A720" s="2" t="s">
        <v>2</v>
      </c>
      <c r="B720" s="1" t="s">
        <v>11</v>
      </c>
      <c r="C720" s="76" t="s">
        <v>54</v>
      </c>
      <c r="D720" s="76">
        <v>157</v>
      </c>
      <c r="E720" s="1" t="s">
        <v>73</v>
      </c>
      <c r="F720" s="1" t="s">
        <v>15</v>
      </c>
      <c r="G720" s="1">
        <v>47</v>
      </c>
      <c r="H720" s="1">
        <v>49</v>
      </c>
      <c r="I720" s="1">
        <v>49</v>
      </c>
    </row>
    <row r="721" spans="1:9" x14ac:dyDescent="0.25">
      <c r="A721" s="2" t="s">
        <v>2</v>
      </c>
      <c r="B721" s="1" t="s">
        <v>11</v>
      </c>
      <c r="C721" s="77" t="s">
        <v>42</v>
      </c>
      <c r="D721" s="77">
        <v>135</v>
      </c>
      <c r="E721" s="1" t="s">
        <v>7</v>
      </c>
      <c r="F721" s="1" t="s">
        <v>14</v>
      </c>
      <c r="G721" s="1">
        <v>55</v>
      </c>
      <c r="H721" s="1">
        <v>61</v>
      </c>
      <c r="I721" s="1">
        <v>59</v>
      </c>
    </row>
    <row r="722" spans="1:9" x14ac:dyDescent="0.25">
      <c r="A722" s="2" t="s">
        <v>2</v>
      </c>
      <c r="B722" s="1" t="s">
        <v>11</v>
      </c>
      <c r="C722" s="77" t="s">
        <v>42</v>
      </c>
      <c r="D722" s="77">
        <v>136</v>
      </c>
      <c r="E722" s="1" t="s">
        <v>7</v>
      </c>
      <c r="F722" s="1" t="s">
        <v>14</v>
      </c>
      <c r="G722" s="1">
        <v>43</v>
      </c>
      <c r="H722" s="1">
        <v>51</v>
      </c>
      <c r="I722" s="1">
        <v>38</v>
      </c>
    </row>
    <row r="723" spans="1:9" x14ac:dyDescent="0.25">
      <c r="A723" s="2" t="s">
        <v>2</v>
      </c>
      <c r="B723" s="1" t="s">
        <v>11</v>
      </c>
      <c r="C723" s="77" t="s">
        <v>42</v>
      </c>
      <c r="D723" s="77">
        <v>137</v>
      </c>
      <c r="E723" s="1" t="s">
        <v>7</v>
      </c>
      <c r="F723" s="1" t="s">
        <v>14</v>
      </c>
      <c r="G723" s="1">
        <v>81</v>
      </c>
      <c r="H723" s="1">
        <v>65</v>
      </c>
      <c r="I723" s="1">
        <v>60</v>
      </c>
    </row>
    <row r="724" spans="1:9" x14ac:dyDescent="0.25">
      <c r="A724" s="2" t="s">
        <v>2</v>
      </c>
      <c r="B724" s="1" t="s">
        <v>11</v>
      </c>
      <c r="C724" s="77" t="s">
        <v>42</v>
      </c>
      <c r="D724" s="77">
        <v>138</v>
      </c>
      <c r="E724" s="1" t="s">
        <v>7</v>
      </c>
      <c r="F724" s="1" t="s">
        <v>14</v>
      </c>
      <c r="G724" s="1">
        <v>65</v>
      </c>
      <c r="H724" s="1">
        <v>64</v>
      </c>
      <c r="I724" s="1">
        <v>61</v>
      </c>
    </row>
    <row r="725" spans="1:9" x14ac:dyDescent="0.25">
      <c r="A725" s="2" t="s">
        <v>2</v>
      </c>
      <c r="B725" s="1" t="s">
        <v>11</v>
      </c>
      <c r="C725" s="77" t="s">
        <v>42</v>
      </c>
      <c r="D725" s="77">
        <v>139</v>
      </c>
      <c r="E725" s="1" t="s">
        <v>7</v>
      </c>
      <c r="F725" s="1" t="s">
        <v>14</v>
      </c>
      <c r="G725" s="1">
        <v>50</v>
      </c>
      <c r="H725" s="1">
        <v>40</v>
      </c>
      <c r="I725" s="1">
        <v>44</v>
      </c>
    </row>
    <row r="726" spans="1:9" x14ac:dyDescent="0.25">
      <c r="A726" s="2" t="s">
        <v>2</v>
      </c>
      <c r="B726" s="1" t="s">
        <v>11</v>
      </c>
      <c r="C726" s="77" t="s">
        <v>42</v>
      </c>
      <c r="D726" s="77">
        <v>140</v>
      </c>
      <c r="E726" s="1" t="s">
        <v>7</v>
      </c>
      <c r="F726" s="1" t="s">
        <v>14</v>
      </c>
      <c r="G726" s="1">
        <v>51</v>
      </c>
      <c r="H726" s="1">
        <v>56</v>
      </c>
      <c r="I726" s="1">
        <v>53</v>
      </c>
    </row>
    <row r="727" spans="1:9" x14ac:dyDescent="0.25">
      <c r="A727" s="2" t="s">
        <v>2</v>
      </c>
      <c r="B727" s="1" t="s">
        <v>11</v>
      </c>
      <c r="C727" s="77" t="s">
        <v>42</v>
      </c>
      <c r="D727" s="77">
        <v>141</v>
      </c>
      <c r="E727" s="1" t="s">
        <v>7</v>
      </c>
      <c r="F727" s="1" t="s">
        <v>14</v>
      </c>
      <c r="G727" s="1">
        <v>86</v>
      </c>
      <c r="H727" s="1">
        <v>82</v>
      </c>
      <c r="I727" s="1">
        <v>72</v>
      </c>
    </row>
    <row r="728" spans="1:9" x14ac:dyDescent="0.25">
      <c r="A728" s="2" t="s">
        <v>2</v>
      </c>
      <c r="B728" s="1" t="s">
        <v>11</v>
      </c>
      <c r="C728" s="77" t="s">
        <v>42</v>
      </c>
      <c r="D728" s="77">
        <v>142</v>
      </c>
      <c r="E728" s="1" t="s">
        <v>7</v>
      </c>
      <c r="F728" s="1" t="s">
        <v>14</v>
      </c>
      <c r="G728" s="1">
        <v>72</v>
      </c>
      <c r="H728" s="1">
        <v>76</v>
      </c>
      <c r="I728" s="1">
        <v>64</v>
      </c>
    </row>
    <row r="729" spans="1:9" x14ac:dyDescent="0.25">
      <c r="A729" s="2" t="s">
        <v>2</v>
      </c>
      <c r="B729" s="1" t="s">
        <v>11</v>
      </c>
      <c r="C729" s="77" t="s">
        <v>42</v>
      </c>
      <c r="D729" s="77">
        <v>143</v>
      </c>
      <c r="E729" s="1" t="s">
        <v>7</v>
      </c>
      <c r="F729" s="1" t="s">
        <v>14</v>
      </c>
      <c r="G729" s="1">
        <v>90</v>
      </c>
      <c r="H729" s="1">
        <v>76</v>
      </c>
      <c r="I729" s="1">
        <v>71</v>
      </c>
    </row>
    <row r="730" spans="1:9" x14ac:dyDescent="0.25">
      <c r="A730" s="2" t="s">
        <v>2</v>
      </c>
      <c r="B730" s="1" t="s">
        <v>11</v>
      </c>
      <c r="C730" s="77" t="s">
        <v>42</v>
      </c>
      <c r="D730" s="77">
        <v>144</v>
      </c>
      <c r="E730" s="1" t="s">
        <v>7</v>
      </c>
      <c r="F730" s="1" t="s">
        <v>14</v>
      </c>
      <c r="G730" s="1">
        <v>76</v>
      </c>
      <c r="H730" s="1">
        <v>74</v>
      </c>
      <c r="I730" s="1">
        <v>73</v>
      </c>
    </row>
    <row r="731" spans="1:9" x14ac:dyDescent="0.25">
      <c r="A731" s="2" t="s">
        <v>2</v>
      </c>
      <c r="B731" s="1" t="s">
        <v>11</v>
      </c>
      <c r="C731" s="77" t="s">
        <v>42</v>
      </c>
      <c r="D731" s="77">
        <v>145</v>
      </c>
      <c r="E731" s="1" t="s">
        <v>7</v>
      </c>
      <c r="F731" s="1" t="s">
        <v>14</v>
      </c>
      <c r="G731" s="1">
        <v>66</v>
      </c>
      <c r="H731" s="1">
        <v>68</v>
      </c>
      <c r="I731" s="1">
        <v>62</v>
      </c>
    </row>
    <row r="732" spans="1:9" x14ac:dyDescent="0.25">
      <c r="A732" s="2" t="s">
        <v>2</v>
      </c>
      <c r="B732" s="1" t="s">
        <v>11</v>
      </c>
      <c r="C732" s="77" t="s">
        <v>42</v>
      </c>
      <c r="D732" s="77">
        <v>146</v>
      </c>
      <c r="E732" s="1" t="s">
        <v>7</v>
      </c>
      <c r="F732" s="1" t="s">
        <v>14</v>
      </c>
      <c r="G732" s="1">
        <v>55</v>
      </c>
      <c r="H732" s="1">
        <v>65</v>
      </c>
      <c r="I732" s="1">
        <v>57</v>
      </c>
    </row>
    <row r="733" spans="1:9" x14ac:dyDescent="0.25">
      <c r="A733" s="2" t="s">
        <v>2</v>
      </c>
      <c r="B733" s="1" t="s">
        <v>11</v>
      </c>
      <c r="C733" s="77" t="s">
        <v>42</v>
      </c>
      <c r="D733" s="77">
        <v>147</v>
      </c>
      <c r="E733" s="1" t="s">
        <v>7</v>
      </c>
      <c r="F733" s="1" t="s">
        <v>14</v>
      </c>
      <c r="G733" s="1">
        <v>79</v>
      </c>
      <c r="H733" s="1">
        <v>76</v>
      </c>
      <c r="I733" s="1">
        <v>69</v>
      </c>
    </row>
    <row r="734" spans="1:9" x14ac:dyDescent="0.25">
      <c r="A734" s="2" t="s">
        <v>2</v>
      </c>
      <c r="B734" s="1" t="s">
        <v>11</v>
      </c>
      <c r="C734" s="77" t="s">
        <v>42</v>
      </c>
      <c r="D734" s="77">
        <v>148</v>
      </c>
      <c r="E734" s="1" t="s">
        <v>7</v>
      </c>
      <c r="F734" s="1" t="s">
        <v>14</v>
      </c>
      <c r="G734" s="1">
        <v>80</v>
      </c>
      <c r="H734" s="1">
        <v>79</v>
      </c>
      <c r="I734" s="1">
        <v>74</v>
      </c>
    </row>
    <row r="735" spans="1:9" x14ac:dyDescent="0.25">
      <c r="A735" s="2" t="s">
        <v>2</v>
      </c>
      <c r="B735" s="1" t="s">
        <v>11</v>
      </c>
      <c r="C735" s="77" t="s">
        <v>42</v>
      </c>
      <c r="D735" s="77">
        <v>149</v>
      </c>
      <c r="E735" s="1" t="s">
        <v>7</v>
      </c>
      <c r="F735" s="1" t="s">
        <v>14</v>
      </c>
      <c r="G735" s="1">
        <v>55</v>
      </c>
      <c r="H735" s="1">
        <v>48</v>
      </c>
      <c r="I735" s="1">
        <v>46</v>
      </c>
    </row>
    <row r="736" spans="1:9" x14ac:dyDescent="0.25">
      <c r="A736" s="2" t="s">
        <v>2</v>
      </c>
      <c r="B736" s="1" t="s">
        <v>11</v>
      </c>
      <c r="C736" s="77" t="s">
        <v>42</v>
      </c>
      <c r="D736" s="77">
        <v>150</v>
      </c>
      <c r="E736" s="1" t="s">
        <v>7</v>
      </c>
      <c r="F736" s="1" t="s">
        <v>14</v>
      </c>
      <c r="G736" s="1">
        <v>68</v>
      </c>
      <c r="H736" s="1">
        <v>58</v>
      </c>
      <c r="I736" s="1">
        <v>54</v>
      </c>
    </row>
    <row r="737" spans="1:9" x14ac:dyDescent="0.25">
      <c r="A737" s="2" t="s">
        <v>2</v>
      </c>
      <c r="B737" s="1" t="s">
        <v>11</v>
      </c>
      <c r="C737" s="77" t="s">
        <v>42</v>
      </c>
      <c r="D737" s="77">
        <v>151</v>
      </c>
      <c r="E737" s="1" t="s">
        <v>7</v>
      </c>
      <c r="F737" s="1" t="s">
        <v>14</v>
      </c>
      <c r="G737" s="1">
        <v>76</v>
      </c>
      <c r="H737" s="1">
        <v>65</v>
      </c>
      <c r="I737" s="1">
        <v>58</v>
      </c>
    </row>
    <row r="738" spans="1:9" x14ac:dyDescent="0.25">
      <c r="A738" s="2" t="s">
        <v>2</v>
      </c>
      <c r="B738" s="1" t="s">
        <v>11</v>
      </c>
      <c r="C738" s="77" t="s">
        <v>42</v>
      </c>
      <c r="D738" s="77">
        <v>152</v>
      </c>
      <c r="E738" s="1" t="s">
        <v>7</v>
      </c>
      <c r="F738" s="1" t="s">
        <v>14</v>
      </c>
      <c r="G738" s="1">
        <v>77</v>
      </c>
      <c r="H738" s="1">
        <v>77</v>
      </c>
      <c r="I738" s="1">
        <v>71</v>
      </c>
    </row>
    <row r="739" spans="1:9" x14ac:dyDescent="0.25">
      <c r="A739" s="2" t="s">
        <v>2</v>
      </c>
      <c r="B739" s="1" t="s">
        <v>11</v>
      </c>
      <c r="C739" s="77" t="s">
        <v>42</v>
      </c>
      <c r="D739" s="77">
        <v>153</v>
      </c>
      <c r="E739" s="1" t="s">
        <v>7</v>
      </c>
      <c r="F739" s="1" t="s">
        <v>14</v>
      </c>
      <c r="G739" s="1">
        <v>80</v>
      </c>
      <c r="H739" s="1">
        <v>66</v>
      </c>
      <c r="I739" s="1">
        <v>66</v>
      </c>
    </row>
    <row r="740" spans="1:9" x14ac:dyDescent="0.25">
      <c r="A740" s="2" t="s">
        <v>2</v>
      </c>
      <c r="B740" s="1" t="s">
        <v>11</v>
      </c>
      <c r="C740" s="77" t="s">
        <v>42</v>
      </c>
      <c r="D740" s="77">
        <v>154</v>
      </c>
      <c r="E740" s="1" t="s">
        <v>7</v>
      </c>
      <c r="F740" s="1" t="s">
        <v>15</v>
      </c>
      <c r="G740" s="1">
        <v>80</v>
      </c>
      <c r="H740" s="1">
        <v>76</v>
      </c>
      <c r="I740" s="1">
        <v>68</v>
      </c>
    </row>
    <row r="741" spans="1:9" x14ac:dyDescent="0.25">
      <c r="A741" s="2" t="s">
        <v>2</v>
      </c>
      <c r="B741" s="1" t="s">
        <v>11</v>
      </c>
      <c r="C741" s="77" t="s">
        <v>42</v>
      </c>
      <c r="D741" s="77">
        <v>155</v>
      </c>
      <c r="E741" s="1" t="s">
        <v>7</v>
      </c>
      <c r="F741" s="1" t="s">
        <v>15</v>
      </c>
      <c r="G741" s="1">
        <v>73</v>
      </c>
      <c r="H741" s="1">
        <v>77</v>
      </c>
      <c r="I741" s="1">
        <v>76</v>
      </c>
    </row>
    <row r="742" spans="1:9" x14ac:dyDescent="0.25">
      <c r="A742" s="2" t="s">
        <v>2</v>
      </c>
      <c r="B742" s="1" t="s">
        <v>11</v>
      </c>
      <c r="C742" s="77" t="s">
        <v>42</v>
      </c>
      <c r="D742" s="77">
        <v>156</v>
      </c>
      <c r="E742" s="1" t="s">
        <v>7</v>
      </c>
      <c r="F742" s="1" t="s">
        <v>15</v>
      </c>
      <c r="G742" s="1">
        <v>82</v>
      </c>
      <c r="H742" s="1">
        <v>89</v>
      </c>
      <c r="I742" s="1">
        <v>86</v>
      </c>
    </row>
    <row r="743" spans="1:9" x14ac:dyDescent="0.25">
      <c r="A743" s="2" t="s">
        <v>2</v>
      </c>
      <c r="B743" s="1" t="s">
        <v>11</v>
      </c>
      <c r="C743" s="77" t="s">
        <v>42</v>
      </c>
      <c r="D743" s="77">
        <v>157</v>
      </c>
      <c r="E743" s="1" t="s">
        <v>7</v>
      </c>
      <c r="F743" s="1" t="s">
        <v>15</v>
      </c>
      <c r="G743" s="1">
        <v>95</v>
      </c>
      <c r="H743" s="1">
        <v>85</v>
      </c>
      <c r="I743" s="1">
        <v>80</v>
      </c>
    </row>
    <row r="744" spans="1:9" x14ac:dyDescent="0.25">
      <c r="A744" s="2" t="s">
        <v>2</v>
      </c>
      <c r="B744" s="1" t="s">
        <v>11</v>
      </c>
      <c r="C744" s="77" t="s">
        <v>42</v>
      </c>
      <c r="D744" s="77">
        <v>158</v>
      </c>
      <c r="E744" s="1" t="s">
        <v>7</v>
      </c>
      <c r="F744" s="1" t="s">
        <v>15</v>
      </c>
      <c r="G744" s="1">
        <v>72</v>
      </c>
      <c r="H744" s="1">
        <v>56</v>
      </c>
      <c r="I744" s="1">
        <v>63</v>
      </c>
    </row>
    <row r="745" spans="1:9" x14ac:dyDescent="0.25">
      <c r="A745" s="2" t="s">
        <v>2</v>
      </c>
      <c r="B745" s="1" t="s">
        <v>11</v>
      </c>
      <c r="C745" s="77" t="s">
        <v>42</v>
      </c>
      <c r="D745" s="77">
        <v>159</v>
      </c>
      <c r="E745" s="1" t="s">
        <v>7</v>
      </c>
      <c r="F745" s="1" t="s">
        <v>15</v>
      </c>
      <c r="G745" s="1">
        <v>48</v>
      </c>
      <c r="H745" s="1">
        <v>38</v>
      </c>
      <c r="I745" s="1">
        <v>46</v>
      </c>
    </row>
    <row r="746" spans="1:9" x14ac:dyDescent="0.25">
      <c r="A746" s="2" t="s">
        <v>2</v>
      </c>
      <c r="B746" s="1" t="s">
        <v>11</v>
      </c>
      <c r="C746" s="77" t="s">
        <v>42</v>
      </c>
      <c r="D746" s="77">
        <v>160</v>
      </c>
      <c r="E746" s="1" t="s">
        <v>7</v>
      </c>
      <c r="F746" s="1" t="s">
        <v>15</v>
      </c>
      <c r="G746" s="1">
        <v>71</v>
      </c>
      <c r="H746" s="1">
        <v>66</v>
      </c>
      <c r="I746" s="1">
        <v>70</v>
      </c>
    </row>
    <row r="747" spans="1:9" x14ac:dyDescent="0.25">
      <c r="A747" s="2" t="s">
        <v>2</v>
      </c>
      <c r="B747" s="1" t="s">
        <v>11</v>
      </c>
      <c r="C747" s="77" t="s">
        <v>42</v>
      </c>
      <c r="D747" s="77">
        <v>161</v>
      </c>
      <c r="E747" s="1" t="s">
        <v>7</v>
      </c>
      <c r="F747" s="1" t="s">
        <v>15</v>
      </c>
      <c r="G747" s="1">
        <v>77</v>
      </c>
      <c r="H747" s="1">
        <v>80</v>
      </c>
      <c r="I747" s="1">
        <v>85</v>
      </c>
    </row>
    <row r="748" spans="1:9" x14ac:dyDescent="0.25">
      <c r="A748" s="2" t="s">
        <v>2</v>
      </c>
      <c r="B748" s="1" t="s">
        <v>11</v>
      </c>
      <c r="C748" s="77" t="s">
        <v>42</v>
      </c>
      <c r="D748" s="77">
        <v>162</v>
      </c>
      <c r="E748" s="1" t="s">
        <v>73</v>
      </c>
      <c r="F748" s="1" t="s">
        <v>14</v>
      </c>
      <c r="G748" s="1">
        <v>83</v>
      </c>
      <c r="H748" s="1">
        <v>62</v>
      </c>
      <c r="I748" s="1">
        <v>64</v>
      </c>
    </row>
    <row r="749" spans="1:9" x14ac:dyDescent="0.25">
      <c r="A749" s="2" t="s">
        <v>2</v>
      </c>
      <c r="B749" s="1" t="s">
        <v>11</v>
      </c>
      <c r="C749" s="77" t="s">
        <v>42</v>
      </c>
      <c r="D749" s="77">
        <v>163</v>
      </c>
      <c r="E749" s="1" t="s">
        <v>73</v>
      </c>
      <c r="F749" s="1" t="s">
        <v>14</v>
      </c>
      <c r="G749" s="1">
        <v>56</v>
      </c>
      <c r="H749" s="1">
        <v>57</v>
      </c>
      <c r="I749" s="1">
        <v>62</v>
      </c>
    </row>
    <row r="750" spans="1:9" x14ac:dyDescent="0.25">
      <c r="A750" s="2" t="s">
        <v>2</v>
      </c>
      <c r="B750" s="1" t="s">
        <v>11</v>
      </c>
      <c r="C750" s="77" t="s">
        <v>42</v>
      </c>
      <c r="D750" s="77">
        <v>164</v>
      </c>
      <c r="E750" s="1" t="s">
        <v>73</v>
      </c>
      <c r="F750" s="1" t="s">
        <v>14</v>
      </c>
      <c r="G750" s="1">
        <v>65</v>
      </c>
      <c r="H750" s="1">
        <v>77</v>
      </c>
      <c r="I750" s="1">
        <v>70</v>
      </c>
    </row>
    <row r="751" spans="1:9" x14ac:dyDescent="0.25">
      <c r="A751" s="2" t="s">
        <v>2</v>
      </c>
      <c r="B751" s="1" t="s">
        <v>11</v>
      </c>
      <c r="C751" s="77" t="s">
        <v>42</v>
      </c>
      <c r="D751" s="77">
        <v>165</v>
      </c>
      <c r="E751" s="1" t="s">
        <v>73</v>
      </c>
      <c r="F751" s="1" t="s">
        <v>14</v>
      </c>
      <c r="G751" s="1">
        <v>57</v>
      </c>
      <c r="H751" s="1">
        <v>60</v>
      </c>
      <c r="I751" s="1">
        <v>57</v>
      </c>
    </row>
    <row r="752" spans="1:9" x14ac:dyDescent="0.25">
      <c r="A752" s="2" t="s">
        <v>2</v>
      </c>
      <c r="B752" s="1" t="s">
        <v>11</v>
      </c>
      <c r="C752" s="77" t="s">
        <v>42</v>
      </c>
      <c r="D752" s="77">
        <v>166</v>
      </c>
      <c r="E752" s="1" t="s">
        <v>73</v>
      </c>
      <c r="F752" s="1" t="s">
        <v>14</v>
      </c>
      <c r="G752" s="1">
        <v>76</v>
      </c>
      <c r="H752" s="1">
        <v>72</v>
      </c>
      <c r="I752" s="1">
        <v>65</v>
      </c>
    </row>
    <row r="753" spans="1:9" x14ac:dyDescent="0.25">
      <c r="A753" s="2" t="s">
        <v>2</v>
      </c>
      <c r="B753" s="1" t="s">
        <v>11</v>
      </c>
      <c r="C753" s="77" t="s">
        <v>42</v>
      </c>
      <c r="D753" s="77">
        <v>167</v>
      </c>
      <c r="E753" s="1" t="s">
        <v>73</v>
      </c>
      <c r="F753" s="1" t="s">
        <v>14</v>
      </c>
      <c r="G753" s="1">
        <v>33</v>
      </c>
      <c r="H753" s="1">
        <v>42</v>
      </c>
      <c r="I753" s="1">
        <v>41</v>
      </c>
    </row>
    <row r="754" spans="1:9" x14ac:dyDescent="0.25">
      <c r="A754" s="2" t="s">
        <v>2</v>
      </c>
      <c r="B754" s="1" t="s">
        <v>11</v>
      </c>
      <c r="C754" s="77" t="s">
        <v>42</v>
      </c>
      <c r="D754" s="77">
        <v>168</v>
      </c>
      <c r="E754" s="1" t="s">
        <v>73</v>
      </c>
      <c r="F754" s="1" t="s">
        <v>14</v>
      </c>
      <c r="G754" s="1">
        <v>51</v>
      </c>
      <c r="H754" s="1">
        <v>54</v>
      </c>
      <c r="I754" s="1">
        <v>51</v>
      </c>
    </row>
    <row r="755" spans="1:9" x14ac:dyDescent="0.25">
      <c r="A755" s="2" t="s">
        <v>2</v>
      </c>
      <c r="B755" s="1" t="s">
        <v>11</v>
      </c>
      <c r="C755" s="77" t="s">
        <v>42</v>
      </c>
      <c r="D755" s="77">
        <v>169</v>
      </c>
      <c r="E755" s="1" t="s">
        <v>73</v>
      </c>
      <c r="F755" s="1" t="s">
        <v>14</v>
      </c>
      <c r="G755" s="1">
        <v>60</v>
      </c>
      <c r="H755" s="1">
        <v>67</v>
      </c>
      <c r="I755" s="1">
        <v>61</v>
      </c>
    </row>
    <row r="756" spans="1:9" x14ac:dyDescent="0.25">
      <c r="A756" s="2" t="s">
        <v>2</v>
      </c>
      <c r="B756" s="1" t="s">
        <v>11</v>
      </c>
      <c r="C756" s="77" t="s">
        <v>42</v>
      </c>
      <c r="D756" s="77">
        <v>170</v>
      </c>
      <c r="E756" s="1" t="s">
        <v>73</v>
      </c>
      <c r="F756" s="1" t="s">
        <v>14</v>
      </c>
      <c r="G756" s="1">
        <v>71</v>
      </c>
      <c r="H756" s="1">
        <v>74</v>
      </c>
      <c r="I756" s="1">
        <v>73</v>
      </c>
    </row>
    <row r="757" spans="1:9" x14ac:dyDescent="0.25">
      <c r="A757" s="2" t="s">
        <v>2</v>
      </c>
      <c r="B757" s="1" t="s">
        <v>11</v>
      </c>
      <c r="C757" s="77" t="s">
        <v>42</v>
      </c>
      <c r="D757" s="77">
        <v>171</v>
      </c>
      <c r="E757" s="1" t="s">
        <v>73</v>
      </c>
      <c r="F757" s="1" t="s">
        <v>14</v>
      </c>
      <c r="G757" s="1">
        <v>62</v>
      </c>
      <c r="H757" s="1">
        <v>65</v>
      </c>
      <c r="I757" s="1">
        <v>61</v>
      </c>
    </row>
    <row r="758" spans="1:9" x14ac:dyDescent="0.25">
      <c r="A758" s="2" t="s">
        <v>2</v>
      </c>
      <c r="B758" s="1" t="s">
        <v>11</v>
      </c>
      <c r="C758" s="77" t="s">
        <v>42</v>
      </c>
      <c r="D758" s="77">
        <v>172</v>
      </c>
      <c r="E758" s="1" t="s">
        <v>73</v>
      </c>
      <c r="F758" s="1" t="s">
        <v>15</v>
      </c>
      <c r="G758" s="1">
        <v>70</v>
      </c>
      <c r="H758" s="1">
        <v>75</v>
      </c>
      <c r="I758" s="1">
        <v>74</v>
      </c>
    </row>
    <row r="759" spans="1:9" x14ac:dyDescent="0.25">
      <c r="A759" s="2" t="s">
        <v>2</v>
      </c>
      <c r="B759" s="1" t="s">
        <v>11</v>
      </c>
      <c r="C759" s="77" t="s">
        <v>42</v>
      </c>
      <c r="D759" s="77">
        <v>173</v>
      </c>
      <c r="E759" s="1" t="s">
        <v>73</v>
      </c>
      <c r="F759" s="1" t="s">
        <v>15</v>
      </c>
      <c r="G759" s="1">
        <v>59</v>
      </c>
      <c r="H759" s="1">
        <v>69</v>
      </c>
      <c r="I759" s="1">
        <v>63</v>
      </c>
    </row>
    <row r="760" spans="1:9" x14ac:dyDescent="0.25">
      <c r="A760" s="2" t="s">
        <v>2</v>
      </c>
      <c r="B760" s="1" t="s">
        <v>11</v>
      </c>
      <c r="C760" s="77" t="s">
        <v>42</v>
      </c>
      <c r="D760" s="77">
        <v>174</v>
      </c>
      <c r="E760" s="1" t="s">
        <v>73</v>
      </c>
      <c r="F760" s="1" t="s">
        <v>15</v>
      </c>
      <c r="G760" s="1">
        <v>62</v>
      </c>
      <c r="H760" s="1">
        <v>72</v>
      </c>
      <c r="I760" s="1">
        <v>67</v>
      </c>
    </row>
    <row r="761" spans="1:9" x14ac:dyDescent="0.25">
      <c r="A761" s="2" t="s">
        <v>2</v>
      </c>
      <c r="B761" s="1" t="s">
        <v>11</v>
      </c>
      <c r="C761" s="77" t="s">
        <v>42</v>
      </c>
      <c r="D761" s="77">
        <v>175</v>
      </c>
      <c r="E761" s="1" t="s">
        <v>73</v>
      </c>
      <c r="F761" s="1" t="s">
        <v>15</v>
      </c>
      <c r="G761" s="1">
        <v>70</v>
      </c>
      <c r="H761" s="1">
        <v>66</v>
      </c>
      <c r="I761" s="1">
        <v>68</v>
      </c>
    </row>
    <row r="762" spans="1:9" x14ac:dyDescent="0.25">
      <c r="A762" s="2" t="s">
        <v>2</v>
      </c>
      <c r="B762" s="1" t="s">
        <v>11</v>
      </c>
      <c r="C762" s="77" t="s">
        <v>42</v>
      </c>
      <c r="D762" s="77">
        <v>176</v>
      </c>
      <c r="E762" s="1" t="s">
        <v>73</v>
      </c>
      <c r="F762" s="1" t="s">
        <v>15</v>
      </c>
      <c r="G762" s="1">
        <v>65</v>
      </c>
      <c r="H762" s="1">
        <v>62</v>
      </c>
      <c r="I762" s="1">
        <v>63</v>
      </c>
    </row>
    <row r="763" spans="1:9" x14ac:dyDescent="0.25">
      <c r="A763" s="2" t="s">
        <v>2</v>
      </c>
      <c r="B763" s="1" t="s">
        <v>11</v>
      </c>
      <c r="C763" s="78" t="s">
        <v>52</v>
      </c>
      <c r="D763" s="78">
        <v>67</v>
      </c>
      <c r="E763" s="1" t="s">
        <v>7</v>
      </c>
      <c r="F763" s="1" t="s">
        <v>14</v>
      </c>
      <c r="G763" s="1">
        <v>63</v>
      </c>
      <c r="H763" s="1">
        <v>71</v>
      </c>
      <c r="I763" s="1">
        <v>65</v>
      </c>
    </row>
    <row r="764" spans="1:9" x14ac:dyDescent="0.25">
      <c r="A764" s="2" t="s">
        <v>2</v>
      </c>
      <c r="B764" s="1" t="s">
        <v>11</v>
      </c>
      <c r="C764" s="78" t="s">
        <v>52</v>
      </c>
      <c r="D764" s="78">
        <v>68</v>
      </c>
      <c r="E764" s="1" t="s">
        <v>7</v>
      </c>
      <c r="F764" s="1" t="s">
        <v>14</v>
      </c>
      <c r="G764" s="1">
        <v>64</v>
      </c>
      <c r="H764" s="1">
        <v>62</v>
      </c>
      <c r="I764" s="1">
        <v>58</v>
      </c>
    </row>
    <row r="765" spans="1:9" x14ac:dyDescent="0.25">
      <c r="A765" s="2" t="s">
        <v>2</v>
      </c>
      <c r="B765" s="1" t="s">
        <v>11</v>
      </c>
      <c r="C765" s="78" t="s">
        <v>52</v>
      </c>
      <c r="D765" s="78">
        <v>69</v>
      </c>
      <c r="E765" s="1" t="s">
        <v>7</v>
      </c>
      <c r="F765" s="1" t="s">
        <v>14</v>
      </c>
      <c r="G765" s="1">
        <v>59</v>
      </c>
      <c r="H765" s="1">
        <v>50</v>
      </c>
      <c r="I765" s="1">
        <v>53</v>
      </c>
    </row>
    <row r="766" spans="1:9" x14ac:dyDescent="0.25">
      <c r="A766" s="2" t="s">
        <v>2</v>
      </c>
      <c r="B766" s="1" t="s">
        <v>11</v>
      </c>
      <c r="C766" s="78" t="s">
        <v>52</v>
      </c>
      <c r="D766" s="78">
        <v>70</v>
      </c>
      <c r="E766" s="1" t="s">
        <v>7</v>
      </c>
      <c r="F766" s="1" t="s">
        <v>14</v>
      </c>
      <c r="G766" s="1">
        <v>91</v>
      </c>
      <c r="H766" s="1">
        <v>83</v>
      </c>
      <c r="I766" s="1">
        <v>82</v>
      </c>
    </row>
    <row r="767" spans="1:9" x14ac:dyDescent="0.25">
      <c r="A767" s="2" t="s">
        <v>2</v>
      </c>
      <c r="B767" s="1" t="s">
        <v>11</v>
      </c>
      <c r="C767" s="78" t="s">
        <v>52</v>
      </c>
      <c r="D767" s="78">
        <v>71</v>
      </c>
      <c r="E767" s="1" t="s">
        <v>7</v>
      </c>
      <c r="F767" s="1" t="s">
        <v>14</v>
      </c>
      <c r="G767" s="1">
        <v>77</v>
      </c>
      <c r="H767" s="1">
        <v>65</v>
      </c>
      <c r="I767" s="1">
        <v>69</v>
      </c>
    </row>
    <row r="768" spans="1:9" x14ac:dyDescent="0.25">
      <c r="A768" s="2" t="s">
        <v>2</v>
      </c>
      <c r="B768" s="1" t="s">
        <v>11</v>
      </c>
      <c r="C768" s="78" t="s">
        <v>52</v>
      </c>
      <c r="D768" s="78">
        <v>72</v>
      </c>
      <c r="E768" s="1" t="s">
        <v>7</v>
      </c>
      <c r="F768" s="1" t="s">
        <v>14</v>
      </c>
      <c r="G768" s="1">
        <v>75</v>
      </c>
      <c r="H768" s="1">
        <v>71</v>
      </c>
      <c r="I768" s="1">
        <v>76</v>
      </c>
    </row>
    <row r="769" spans="1:9" x14ac:dyDescent="0.25">
      <c r="A769" s="2" t="s">
        <v>2</v>
      </c>
      <c r="B769" s="1" t="s">
        <v>11</v>
      </c>
      <c r="C769" s="78" t="s">
        <v>52</v>
      </c>
      <c r="D769" s="78">
        <v>73</v>
      </c>
      <c r="E769" s="1" t="s">
        <v>7</v>
      </c>
      <c r="F769" s="1" t="s">
        <v>14</v>
      </c>
      <c r="G769" s="1">
        <v>73</v>
      </c>
      <c r="H769" s="1">
        <v>67</v>
      </c>
      <c r="I769" s="1">
        <v>73</v>
      </c>
    </row>
    <row r="770" spans="1:9" x14ac:dyDescent="0.25">
      <c r="A770" s="2" t="s">
        <v>2</v>
      </c>
      <c r="B770" s="1" t="s">
        <v>11</v>
      </c>
      <c r="C770" s="78" t="s">
        <v>52</v>
      </c>
      <c r="D770" s="78">
        <v>74</v>
      </c>
      <c r="E770" s="1" t="s">
        <v>7</v>
      </c>
      <c r="F770" s="1" t="s">
        <v>14</v>
      </c>
      <c r="G770" s="1">
        <v>70</v>
      </c>
      <c r="H770" s="1">
        <v>49</v>
      </c>
      <c r="I770" s="1">
        <v>53</v>
      </c>
    </row>
    <row r="771" spans="1:9" x14ac:dyDescent="0.25">
      <c r="A771" s="2" t="s">
        <v>2</v>
      </c>
      <c r="B771" s="1" t="s">
        <v>11</v>
      </c>
      <c r="C771" s="78" t="s">
        <v>52</v>
      </c>
      <c r="D771" s="78">
        <v>75</v>
      </c>
      <c r="E771" s="1" t="s">
        <v>7</v>
      </c>
      <c r="F771" s="1" t="s">
        <v>14</v>
      </c>
      <c r="G771" s="1">
        <v>74</v>
      </c>
      <c r="H771" s="1">
        <v>61</v>
      </c>
      <c r="I771" s="1">
        <v>68</v>
      </c>
    </row>
    <row r="772" spans="1:9" x14ac:dyDescent="0.25">
      <c r="A772" s="2" t="s">
        <v>2</v>
      </c>
      <c r="B772" s="1" t="s">
        <v>11</v>
      </c>
      <c r="C772" s="78" t="s">
        <v>52</v>
      </c>
      <c r="D772" s="78">
        <v>76</v>
      </c>
      <c r="E772" s="1" t="s">
        <v>7</v>
      </c>
      <c r="F772" s="1" t="s">
        <v>14</v>
      </c>
      <c r="G772" s="1">
        <v>68</v>
      </c>
      <c r="H772" s="1">
        <v>56</v>
      </c>
      <c r="I772" s="1">
        <v>57</v>
      </c>
    </row>
    <row r="773" spans="1:9" x14ac:dyDescent="0.25">
      <c r="A773" s="2" t="s">
        <v>2</v>
      </c>
      <c r="B773" s="1" t="s">
        <v>11</v>
      </c>
      <c r="C773" s="78" t="s">
        <v>52</v>
      </c>
      <c r="D773" s="78">
        <v>77</v>
      </c>
      <c r="E773" s="1" t="s">
        <v>7</v>
      </c>
      <c r="F773" s="1" t="s">
        <v>15</v>
      </c>
      <c r="G773" s="1">
        <v>75</v>
      </c>
      <c r="H773" s="1">
        <v>62</v>
      </c>
      <c r="I773" s="1">
        <v>65</v>
      </c>
    </row>
    <row r="774" spans="1:9" x14ac:dyDescent="0.25">
      <c r="A774" s="2" t="s">
        <v>2</v>
      </c>
      <c r="B774" s="1" t="s">
        <v>11</v>
      </c>
      <c r="C774" s="78" t="s">
        <v>52</v>
      </c>
      <c r="D774" s="78">
        <v>78</v>
      </c>
      <c r="E774" s="1" t="s">
        <v>7</v>
      </c>
      <c r="F774" s="1" t="s">
        <v>15</v>
      </c>
      <c r="G774" s="1">
        <v>62</v>
      </c>
      <c r="H774" s="1">
        <v>67</v>
      </c>
      <c r="I774" s="1">
        <v>68</v>
      </c>
    </row>
    <row r="775" spans="1:9" x14ac:dyDescent="0.25">
      <c r="A775" s="2" t="s">
        <v>2</v>
      </c>
      <c r="B775" s="1" t="s">
        <v>11</v>
      </c>
      <c r="C775" s="78" t="s">
        <v>52</v>
      </c>
      <c r="D775" s="78">
        <v>79</v>
      </c>
      <c r="E775" s="1" t="s">
        <v>7</v>
      </c>
      <c r="F775" s="1" t="s">
        <v>15</v>
      </c>
      <c r="G775" s="1">
        <v>86</v>
      </c>
      <c r="H775" s="1">
        <v>77</v>
      </c>
      <c r="I775" s="1">
        <v>80</v>
      </c>
    </row>
    <row r="776" spans="1:9" x14ac:dyDescent="0.25">
      <c r="A776" s="2" t="s">
        <v>2</v>
      </c>
      <c r="B776" s="1" t="s">
        <v>11</v>
      </c>
      <c r="C776" s="78" t="s">
        <v>52</v>
      </c>
      <c r="D776" s="78">
        <v>80</v>
      </c>
      <c r="E776" s="1" t="s">
        <v>73</v>
      </c>
      <c r="F776" s="1" t="s">
        <v>14</v>
      </c>
      <c r="G776" s="1">
        <v>51</v>
      </c>
      <c r="H776" s="1">
        <v>53</v>
      </c>
      <c r="I776" s="1">
        <v>51</v>
      </c>
    </row>
    <row r="777" spans="1:9" x14ac:dyDescent="0.25">
      <c r="A777" s="2" t="s">
        <v>2</v>
      </c>
      <c r="B777" s="1" t="s">
        <v>11</v>
      </c>
      <c r="C777" s="78" t="s">
        <v>52</v>
      </c>
      <c r="D777" s="78">
        <v>81</v>
      </c>
      <c r="E777" s="1" t="s">
        <v>73</v>
      </c>
      <c r="F777" s="1" t="s">
        <v>14</v>
      </c>
      <c r="G777" s="1">
        <v>65</v>
      </c>
      <c r="H777" s="1">
        <v>61</v>
      </c>
      <c r="I777" s="1">
        <v>57</v>
      </c>
    </row>
    <row r="778" spans="1:9" x14ac:dyDescent="0.25">
      <c r="A778" s="2" t="s">
        <v>2</v>
      </c>
      <c r="B778" s="1" t="s">
        <v>11</v>
      </c>
      <c r="C778" s="78" t="s">
        <v>52</v>
      </c>
      <c r="D778" s="78">
        <v>82</v>
      </c>
      <c r="E778" s="1" t="s">
        <v>73</v>
      </c>
      <c r="F778" s="1" t="s">
        <v>14</v>
      </c>
      <c r="G778" s="1">
        <v>73</v>
      </c>
      <c r="H778" s="1">
        <v>69</v>
      </c>
      <c r="I778" s="1">
        <v>70</v>
      </c>
    </row>
    <row r="779" spans="1:9" x14ac:dyDescent="0.25">
      <c r="A779" s="2" t="s">
        <v>2</v>
      </c>
      <c r="B779" s="1" t="s">
        <v>11</v>
      </c>
      <c r="C779" s="78" t="s">
        <v>52</v>
      </c>
      <c r="D779" s="78">
        <v>83</v>
      </c>
      <c r="E779" s="1" t="s">
        <v>73</v>
      </c>
      <c r="F779" s="1" t="s">
        <v>14</v>
      </c>
      <c r="G779" s="1">
        <v>47</v>
      </c>
      <c r="H779" s="1">
        <v>53</v>
      </c>
      <c r="I779" s="1">
        <v>42</v>
      </c>
    </row>
    <row r="780" spans="1:9" x14ac:dyDescent="0.25">
      <c r="A780" s="2" t="s">
        <v>2</v>
      </c>
      <c r="B780" s="1" t="s">
        <v>11</v>
      </c>
      <c r="C780" s="78" t="s">
        <v>52</v>
      </c>
      <c r="D780" s="78">
        <v>84</v>
      </c>
      <c r="E780" s="1" t="s">
        <v>73</v>
      </c>
      <c r="F780" s="1" t="s">
        <v>14</v>
      </c>
      <c r="G780" s="1">
        <v>58</v>
      </c>
      <c r="H780" s="1">
        <v>66</v>
      </c>
      <c r="I780" s="1">
        <v>67</v>
      </c>
    </row>
    <row r="781" spans="1:9" x14ac:dyDescent="0.25">
      <c r="A781" s="2" t="s">
        <v>2</v>
      </c>
      <c r="B781" s="1" t="s">
        <v>11</v>
      </c>
      <c r="C781" s="78" t="s">
        <v>52</v>
      </c>
      <c r="D781" s="78">
        <v>85</v>
      </c>
      <c r="E781" s="1" t="s">
        <v>73</v>
      </c>
      <c r="F781" s="1" t="s">
        <v>15</v>
      </c>
      <c r="G781" s="1">
        <v>57</v>
      </c>
      <c r="H781" s="1">
        <v>65</v>
      </c>
      <c r="I781" s="1">
        <v>56</v>
      </c>
    </row>
    <row r="782" spans="1:9" x14ac:dyDescent="0.25">
      <c r="A782" s="2" t="s">
        <v>2</v>
      </c>
      <c r="B782" s="1" t="s">
        <v>11</v>
      </c>
      <c r="C782" s="78" t="s">
        <v>52</v>
      </c>
      <c r="D782" s="78">
        <v>86</v>
      </c>
      <c r="E782" s="1" t="s">
        <v>73</v>
      </c>
      <c r="F782" s="1" t="s">
        <v>15</v>
      </c>
      <c r="G782" s="1">
        <v>72</v>
      </c>
      <c r="H782" s="1">
        <v>70</v>
      </c>
      <c r="I782" s="1">
        <v>70</v>
      </c>
    </row>
    <row r="783" spans="1:9" x14ac:dyDescent="0.25">
      <c r="A783" s="2" t="s">
        <v>2</v>
      </c>
      <c r="B783" s="1" t="s">
        <v>11</v>
      </c>
      <c r="C783" s="79" t="s">
        <v>59</v>
      </c>
      <c r="D783" s="79">
        <v>46</v>
      </c>
      <c r="E783" s="1" t="s">
        <v>7</v>
      </c>
      <c r="F783" s="1" t="s">
        <v>14</v>
      </c>
      <c r="G783" s="1">
        <v>85</v>
      </c>
      <c r="H783" s="1">
        <v>81</v>
      </c>
      <c r="I783" s="1">
        <v>80</v>
      </c>
    </row>
    <row r="784" spans="1:9" x14ac:dyDescent="0.25">
      <c r="A784" s="2" t="s">
        <v>2</v>
      </c>
      <c r="B784" s="1" t="s">
        <v>11</v>
      </c>
      <c r="C784" s="79" t="s">
        <v>59</v>
      </c>
      <c r="D784" s="79">
        <v>47</v>
      </c>
      <c r="E784" s="1" t="s">
        <v>7</v>
      </c>
      <c r="F784" s="1" t="s">
        <v>14</v>
      </c>
      <c r="G784" s="1">
        <v>80</v>
      </c>
      <c r="H784" s="1">
        <v>79</v>
      </c>
      <c r="I784" s="1">
        <v>73</v>
      </c>
    </row>
    <row r="785" spans="1:9" x14ac:dyDescent="0.25">
      <c r="A785" s="2" t="s">
        <v>2</v>
      </c>
      <c r="B785" s="1" t="s">
        <v>11</v>
      </c>
      <c r="C785" s="79" t="s">
        <v>59</v>
      </c>
      <c r="D785" s="79">
        <v>48</v>
      </c>
      <c r="E785" s="1" t="s">
        <v>7</v>
      </c>
      <c r="F785" s="1" t="s">
        <v>14</v>
      </c>
      <c r="G785" s="1">
        <v>68</v>
      </c>
      <c r="H785" s="1">
        <v>56</v>
      </c>
      <c r="I785" s="1">
        <v>57</v>
      </c>
    </row>
    <row r="786" spans="1:9" x14ac:dyDescent="0.25">
      <c r="A786" s="2" t="s">
        <v>2</v>
      </c>
      <c r="B786" s="1" t="s">
        <v>11</v>
      </c>
      <c r="C786" s="79" t="s">
        <v>59</v>
      </c>
      <c r="D786" s="79">
        <v>49</v>
      </c>
      <c r="E786" s="1" t="s">
        <v>7</v>
      </c>
      <c r="F786" s="1" t="s">
        <v>14</v>
      </c>
      <c r="G786" s="1">
        <v>93</v>
      </c>
      <c r="H786" s="1">
        <v>78</v>
      </c>
      <c r="I786" s="1">
        <v>77</v>
      </c>
    </row>
    <row r="787" spans="1:9" x14ac:dyDescent="0.25">
      <c r="A787" s="2" t="s">
        <v>2</v>
      </c>
      <c r="B787" s="1" t="s">
        <v>11</v>
      </c>
      <c r="C787" s="79" t="s">
        <v>59</v>
      </c>
      <c r="D787" s="79">
        <v>50</v>
      </c>
      <c r="E787" s="1" t="s">
        <v>7</v>
      </c>
      <c r="F787" s="1" t="s">
        <v>14</v>
      </c>
      <c r="G787" s="1">
        <v>81</v>
      </c>
      <c r="H787" s="1">
        <v>80</v>
      </c>
      <c r="I787" s="1">
        <v>73</v>
      </c>
    </row>
    <row r="788" spans="1:9" x14ac:dyDescent="0.25">
      <c r="A788" s="2" t="s">
        <v>2</v>
      </c>
      <c r="B788" s="1" t="s">
        <v>11</v>
      </c>
      <c r="C788" s="79" t="s">
        <v>59</v>
      </c>
      <c r="D788" s="79">
        <v>51</v>
      </c>
      <c r="E788" s="1" t="s">
        <v>7</v>
      </c>
      <c r="F788" s="1" t="s">
        <v>15</v>
      </c>
      <c r="G788" s="1">
        <v>79</v>
      </c>
      <c r="H788" s="1">
        <v>72</v>
      </c>
      <c r="I788" s="1">
        <v>74</v>
      </c>
    </row>
    <row r="789" spans="1:9" x14ac:dyDescent="0.25">
      <c r="A789" s="2" t="s">
        <v>2</v>
      </c>
      <c r="B789" s="1" t="s">
        <v>11</v>
      </c>
      <c r="C789" s="79" t="s">
        <v>59</v>
      </c>
      <c r="D789" s="79">
        <v>52</v>
      </c>
      <c r="E789" s="1" t="s">
        <v>73</v>
      </c>
      <c r="F789" s="1" t="s">
        <v>14</v>
      </c>
      <c r="G789" s="1">
        <v>55</v>
      </c>
      <c r="H789" s="1">
        <v>54</v>
      </c>
      <c r="I789" s="1">
        <v>52</v>
      </c>
    </row>
    <row r="790" spans="1:9" x14ac:dyDescent="0.25">
      <c r="A790" s="2" t="s">
        <v>2</v>
      </c>
      <c r="B790" s="1" t="s">
        <v>11</v>
      </c>
      <c r="C790" s="79" t="s">
        <v>59</v>
      </c>
      <c r="D790" s="79">
        <v>53</v>
      </c>
      <c r="E790" s="1" t="s">
        <v>73</v>
      </c>
      <c r="F790" s="1" t="s">
        <v>14</v>
      </c>
      <c r="G790" s="1">
        <v>82</v>
      </c>
      <c r="H790" s="1">
        <v>69</v>
      </c>
      <c r="I790" s="1">
        <v>76</v>
      </c>
    </row>
    <row r="791" spans="1:9" x14ac:dyDescent="0.25">
      <c r="A791" s="2" t="s">
        <v>2</v>
      </c>
      <c r="B791" s="1" t="s">
        <v>11</v>
      </c>
      <c r="C791" s="79" t="s">
        <v>59</v>
      </c>
      <c r="D791" s="79">
        <v>54</v>
      </c>
      <c r="E791" s="1" t="s">
        <v>73</v>
      </c>
      <c r="F791" s="1" t="s">
        <v>14</v>
      </c>
      <c r="G791" s="1">
        <v>57</v>
      </c>
      <c r="H791" s="1">
        <v>54</v>
      </c>
      <c r="I791" s="1">
        <v>48</v>
      </c>
    </row>
    <row r="792" spans="1:9" x14ac:dyDescent="0.25">
      <c r="A792" s="2" t="s">
        <v>2</v>
      </c>
      <c r="B792" s="1" t="s">
        <v>11</v>
      </c>
      <c r="C792" s="79" t="s">
        <v>59</v>
      </c>
      <c r="D792" s="79">
        <v>55</v>
      </c>
      <c r="E792" s="1" t="s">
        <v>73</v>
      </c>
      <c r="F792" s="1" t="s">
        <v>14</v>
      </c>
      <c r="G792" s="1">
        <v>45</v>
      </c>
      <c r="H792" s="1">
        <v>53</v>
      </c>
      <c r="I792" s="1">
        <v>45</v>
      </c>
    </row>
    <row r="793" spans="1:9" x14ac:dyDescent="0.25">
      <c r="A793" s="2" t="s">
        <v>2</v>
      </c>
      <c r="B793" s="1" t="s">
        <v>11</v>
      </c>
      <c r="C793" s="79" t="s">
        <v>59</v>
      </c>
      <c r="D793" s="79">
        <v>56</v>
      </c>
      <c r="E793" s="1" t="s">
        <v>73</v>
      </c>
      <c r="F793" s="1" t="s">
        <v>15</v>
      </c>
      <c r="G793" s="1">
        <v>57</v>
      </c>
      <c r="H793" s="1">
        <v>64</v>
      </c>
      <c r="I793" s="1">
        <v>66</v>
      </c>
    </row>
    <row r="794" spans="1:9" x14ac:dyDescent="0.25">
      <c r="A794" s="2" t="s">
        <v>2</v>
      </c>
      <c r="B794" s="1" t="s">
        <v>12</v>
      </c>
      <c r="C794" s="74" t="s">
        <v>53</v>
      </c>
      <c r="D794" s="74">
        <v>136</v>
      </c>
      <c r="E794" s="1" t="s">
        <v>7</v>
      </c>
      <c r="F794" s="1" t="s">
        <v>14</v>
      </c>
      <c r="G794" s="1">
        <v>70</v>
      </c>
      <c r="H794" s="1">
        <v>66</v>
      </c>
      <c r="I794" s="1">
        <v>59</v>
      </c>
    </row>
    <row r="795" spans="1:9" x14ac:dyDescent="0.25">
      <c r="A795" s="2" t="s">
        <v>2</v>
      </c>
      <c r="B795" s="1" t="s">
        <v>12</v>
      </c>
      <c r="C795" s="74" t="s">
        <v>53</v>
      </c>
      <c r="D795" s="74">
        <v>137</v>
      </c>
      <c r="E795" s="1" t="s">
        <v>7</v>
      </c>
      <c r="F795" s="1" t="s">
        <v>14</v>
      </c>
      <c r="G795" s="1">
        <v>90</v>
      </c>
      <c r="H795" s="1">
        <v>93</v>
      </c>
      <c r="I795" s="1">
        <v>84</v>
      </c>
    </row>
    <row r="796" spans="1:9" x14ac:dyDescent="0.25">
      <c r="A796" s="2" t="s">
        <v>2</v>
      </c>
      <c r="B796" s="1" t="s">
        <v>12</v>
      </c>
      <c r="C796" s="74" t="s">
        <v>53</v>
      </c>
      <c r="D796" s="74">
        <v>138</v>
      </c>
      <c r="E796" s="1" t="s">
        <v>7</v>
      </c>
      <c r="F796" s="1" t="s">
        <v>14</v>
      </c>
      <c r="G796" s="1">
        <v>82</v>
      </c>
      <c r="H796" s="1">
        <v>77</v>
      </c>
      <c r="I796" s="1">
        <v>72</v>
      </c>
    </row>
    <row r="797" spans="1:9" x14ac:dyDescent="0.25">
      <c r="A797" s="2" t="s">
        <v>2</v>
      </c>
      <c r="B797" s="1" t="s">
        <v>12</v>
      </c>
      <c r="C797" s="74" t="s">
        <v>53</v>
      </c>
      <c r="D797" s="74">
        <v>139</v>
      </c>
      <c r="E797" s="1" t="s">
        <v>7</v>
      </c>
      <c r="F797" s="1" t="s">
        <v>14</v>
      </c>
      <c r="G797" s="1">
        <v>69</v>
      </c>
      <c r="H797" s="1">
        <v>56</v>
      </c>
      <c r="I797" s="1">
        <v>59</v>
      </c>
    </row>
    <row r="798" spans="1:9" x14ac:dyDescent="0.25">
      <c r="A798" s="2" t="s">
        <v>2</v>
      </c>
      <c r="B798" s="1" t="s">
        <v>12</v>
      </c>
      <c r="C798" s="74" t="s">
        <v>53</v>
      </c>
      <c r="D798" s="74">
        <v>140</v>
      </c>
      <c r="E798" s="1" t="s">
        <v>7</v>
      </c>
      <c r="F798" s="1" t="s">
        <v>14</v>
      </c>
      <c r="G798" s="1">
        <v>73</v>
      </c>
      <c r="H798" s="1">
        <v>67</v>
      </c>
      <c r="I798" s="1">
        <v>64</v>
      </c>
    </row>
    <row r="799" spans="1:9" x14ac:dyDescent="0.25">
      <c r="A799" s="2" t="s">
        <v>2</v>
      </c>
      <c r="B799" s="1" t="s">
        <v>12</v>
      </c>
      <c r="C799" s="74" t="s">
        <v>53</v>
      </c>
      <c r="D799" s="74">
        <v>141</v>
      </c>
      <c r="E799" s="1" t="s">
        <v>7</v>
      </c>
      <c r="F799" s="1" t="s">
        <v>14</v>
      </c>
      <c r="G799" s="1">
        <v>55</v>
      </c>
      <c r="H799" s="1">
        <v>50</v>
      </c>
      <c r="I799" s="1">
        <v>47</v>
      </c>
    </row>
    <row r="800" spans="1:9" x14ac:dyDescent="0.25">
      <c r="A800" s="2" t="s">
        <v>2</v>
      </c>
      <c r="B800" s="1" t="s">
        <v>12</v>
      </c>
      <c r="C800" s="74" t="s">
        <v>53</v>
      </c>
      <c r="D800" s="74">
        <v>142</v>
      </c>
      <c r="E800" s="1" t="s">
        <v>7</v>
      </c>
      <c r="F800" s="1" t="s">
        <v>14</v>
      </c>
      <c r="G800" s="1">
        <v>59</v>
      </c>
      <c r="H800" s="1">
        <v>48</v>
      </c>
      <c r="I800" s="1">
        <v>48</v>
      </c>
    </row>
    <row r="801" spans="1:9" x14ac:dyDescent="0.25">
      <c r="A801" s="2" t="s">
        <v>2</v>
      </c>
      <c r="B801" s="1" t="s">
        <v>12</v>
      </c>
      <c r="C801" s="74" t="s">
        <v>53</v>
      </c>
      <c r="D801" s="74">
        <v>143</v>
      </c>
      <c r="E801" s="1" t="s">
        <v>7</v>
      </c>
      <c r="F801" s="1" t="s">
        <v>14</v>
      </c>
      <c r="G801" s="1">
        <v>80</v>
      </c>
      <c r="H801" s="1">
        <v>80</v>
      </c>
      <c r="I801" s="1">
        <v>79</v>
      </c>
    </row>
    <row r="802" spans="1:9" x14ac:dyDescent="0.25">
      <c r="A802" s="2" t="s">
        <v>2</v>
      </c>
      <c r="B802" s="1" t="s">
        <v>12</v>
      </c>
      <c r="C802" s="74" t="s">
        <v>53</v>
      </c>
      <c r="D802" s="74">
        <v>144</v>
      </c>
      <c r="E802" s="1" t="s">
        <v>7</v>
      </c>
      <c r="F802" s="1" t="s">
        <v>14</v>
      </c>
      <c r="G802" s="1">
        <v>82</v>
      </c>
      <c r="H802" s="1">
        <v>70</v>
      </c>
      <c r="I802" s="1">
        <v>67</v>
      </c>
    </row>
    <row r="803" spans="1:9" x14ac:dyDescent="0.25">
      <c r="A803" s="2" t="s">
        <v>2</v>
      </c>
      <c r="B803" s="1" t="s">
        <v>12</v>
      </c>
      <c r="C803" s="74" t="s">
        <v>53</v>
      </c>
      <c r="D803" s="74">
        <v>145</v>
      </c>
      <c r="E803" s="1" t="s">
        <v>7</v>
      </c>
      <c r="F803" s="1" t="s">
        <v>14</v>
      </c>
      <c r="G803" s="1">
        <v>90</v>
      </c>
      <c r="H803" s="1">
        <v>72</v>
      </c>
      <c r="I803" s="1">
        <v>79</v>
      </c>
    </row>
    <row r="804" spans="1:9" x14ac:dyDescent="0.25">
      <c r="A804" s="2" t="s">
        <v>2</v>
      </c>
      <c r="B804" s="1" t="s">
        <v>12</v>
      </c>
      <c r="C804" s="74" t="s">
        <v>53</v>
      </c>
      <c r="D804" s="74">
        <v>146</v>
      </c>
      <c r="E804" s="1" t="s">
        <v>7</v>
      </c>
      <c r="F804" s="1" t="s">
        <v>14</v>
      </c>
      <c r="G804" s="1">
        <v>67</v>
      </c>
      <c r="H804" s="1">
        <v>59</v>
      </c>
      <c r="I804" s="1">
        <v>59</v>
      </c>
    </row>
    <row r="805" spans="1:9" x14ac:dyDescent="0.25">
      <c r="A805" s="2" t="s">
        <v>2</v>
      </c>
      <c r="B805" s="1" t="s">
        <v>12</v>
      </c>
      <c r="C805" s="74" t="s">
        <v>53</v>
      </c>
      <c r="D805" s="74">
        <v>147</v>
      </c>
      <c r="E805" s="1" t="s">
        <v>7</v>
      </c>
      <c r="F805" s="1" t="s">
        <v>14</v>
      </c>
      <c r="G805" s="1">
        <v>68</v>
      </c>
      <c r="H805" s="1">
        <v>53</v>
      </c>
      <c r="I805" s="1">
        <v>53</v>
      </c>
    </row>
    <row r="806" spans="1:9" x14ac:dyDescent="0.25">
      <c r="A806" s="2" t="s">
        <v>2</v>
      </c>
      <c r="B806" s="1" t="s">
        <v>12</v>
      </c>
      <c r="C806" s="74" t="s">
        <v>53</v>
      </c>
      <c r="D806" s="74">
        <v>148</v>
      </c>
      <c r="E806" s="1" t="s">
        <v>7</v>
      </c>
      <c r="F806" s="1" t="s">
        <v>14</v>
      </c>
      <c r="G806" s="1">
        <v>51</v>
      </c>
      <c r="H806" s="1">
        <v>53</v>
      </c>
      <c r="I806" s="1">
        <v>45</v>
      </c>
    </row>
    <row r="807" spans="1:9" x14ac:dyDescent="0.25">
      <c r="A807" s="2" t="s">
        <v>2</v>
      </c>
      <c r="B807" s="1" t="s">
        <v>12</v>
      </c>
      <c r="C807" s="74" t="s">
        <v>53</v>
      </c>
      <c r="D807" s="74">
        <v>149</v>
      </c>
      <c r="E807" s="1" t="s">
        <v>7</v>
      </c>
      <c r="F807" s="1" t="s">
        <v>14</v>
      </c>
      <c r="G807" s="1">
        <v>83</v>
      </c>
      <c r="H807" s="1">
        <v>74</v>
      </c>
      <c r="I807" s="1">
        <v>80</v>
      </c>
    </row>
    <row r="808" spans="1:9" x14ac:dyDescent="0.25">
      <c r="A808" s="2" t="s">
        <v>2</v>
      </c>
      <c r="B808" s="1" t="s">
        <v>12</v>
      </c>
      <c r="C808" s="74" t="s">
        <v>53</v>
      </c>
      <c r="D808" s="74">
        <v>150</v>
      </c>
      <c r="E808" s="1" t="s">
        <v>7</v>
      </c>
      <c r="F808" s="1" t="s">
        <v>15</v>
      </c>
      <c r="G808" s="1">
        <v>80</v>
      </c>
      <c r="H808" s="1">
        <v>77</v>
      </c>
      <c r="I808" s="1">
        <v>80</v>
      </c>
    </row>
    <row r="809" spans="1:9" x14ac:dyDescent="0.25">
      <c r="A809" s="2" t="s">
        <v>2</v>
      </c>
      <c r="B809" s="1" t="s">
        <v>12</v>
      </c>
      <c r="C809" s="74" t="s">
        <v>53</v>
      </c>
      <c r="D809" s="74">
        <v>151</v>
      </c>
      <c r="E809" s="1" t="s">
        <v>7</v>
      </c>
      <c r="F809" s="1" t="s">
        <v>15</v>
      </c>
      <c r="G809" s="1">
        <v>82</v>
      </c>
      <c r="H809" s="1">
        <v>74</v>
      </c>
      <c r="I809" s="1">
        <v>75</v>
      </c>
    </row>
    <row r="810" spans="1:9" x14ac:dyDescent="0.25">
      <c r="A810" s="2" t="s">
        <v>2</v>
      </c>
      <c r="B810" s="1" t="s">
        <v>12</v>
      </c>
      <c r="C810" s="74" t="s">
        <v>53</v>
      </c>
      <c r="D810" s="74">
        <v>152</v>
      </c>
      <c r="E810" s="1" t="s">
        <v>7</v>
      </c>
      <c r="F810" s="1" t="s">
        <v>15</v>
      </c>
      <c r="G810" s="1">
        <v>60</v>
      </c>
      <c r="H810" s="1">
        <v>57</v>
      </c>
      <c r="I810" s="1">
        <v>60</v>
      </c>
    </row>
    <row r="811" spans="1:9" x14ac:dyDescent="0.25">
      <c r="A811" s="2" t="s">
        <v>2</v>
      </c>
      <c r="B811" s="1" t="s">
        <v>12</v>
      </c>
      <c r="C811" s="74" t="s">
        <v>53</v>
      </c>
      <c r="D811" s="74">
        <v>153</v>
      </c>
      <c r="E811" s="1" t="s">
        <v>7</v>
      </c>
      <c r="F811" s="1" t="s">
        <v>15</v>
      </c>
      <c r="G811" s="1">
        <v>56</v>
      </c>
      <c r="H811" s="1">
        <v>48</v>
      </c>
      <c r="I811" s="1">
        <v>54</v>
      </c>
    </row>
    <row r="812" spans="1:9" x14ac:dyDescent="0.25">
      <c r="A812" s="2" t="s">
        <v>2</v>
      </c>
      <c r="B812" s="1" t="s">
        <v>12</v>
      </c>
      <c r="C812" s="74" t="s">
        <v>53</v>
      </c>
      <c r="D812" s="74">
        <v>154</v>
      </c>
      <c r="E812" s="1" t="s">
        <v>7</v>
      </c>
      <c r="F812" s="1" t="s">
        <v>15</v>
      </c>
      <c r="G812" s="1">
        <v>100</v>
      </c>
      <c r="H812" s="1">
        <v>84</v>
      </c>
      <c r="I812" s="1">
        <v>87</v>
      </c>
    </row>
    <row r="813" spans="1:9" x14ac:dyDescent="0.25">
      <c r="A813" s="2" t="s">
        <v>2</v>
      </c>
      <c r="B813" s="1" t="s">
        <v>12</v>
      </c>
      <c r="C813" s="74" t="s">
        <v>53</v>
      </c>
      <c r="D813" s="74">
        <v>155</v>
      </c>
      <c r="E813" s="1" t="s">
        <v>7</v>
      </c>
      <c r="F813" s="1" t="s">
        <v>15</v>
      </c>
      <c r="G813" s="1">
        <v>70</v>
      </c>
      <c r="H813" s="1">
        <v>66</v>
      </c>
      <c r="I813" s="1">
        <v>72</v>
      </c>
    </row>
    <row r="814" spans="1:9" x14ac:dyDescent="0.25">
      <c r="A814" s="2" t="s">
        <v>2</v>
      </c>
      <c r="B814" s="1" t="s">
        <v>12</v>
      </c>
      <c r="C814" s="74" t="s">
        <v>53</v>
      </c>
      <c r="D814" s="74">
        <v>156</v>
      </c>
      <c r="E814" s="1" t="s">
        <v>7</v>
      </c>
      <c r="F814" s="1" t="s">
        <v>15</v>
      </c>
      <c r="G814" s="1">
        <v>74</v>
      </c>
      <c r="H814" s="1">
        <v>78</v>
      </c>
      <c r="I814" s="1">
        <v>78</v>
      </c>
    </row>
    <row r="815" spans="1:9" x14ac:dyDescent="0.25">
      <c r="A815" s="2" t="s">
        <v>2</v>
      </c>
      <c r="B815" s="1" t="s">
        <v>12</v>
      </c>
      <c r="C815" s="74" t="s">
        <v>53</v>
      </c>
      <c r="D815" s="74">
        <v>157</v>
      </c>
      <c r="E815" s="1" t="s">
        <v>7</v>
      </c>
      <c r="F815" s="1" t="s">
        <v>15</v>
      </c>
      <c r="G815" s="1">
        <v>76</v>
      </c>
      <c r="H815" s="1">
        <v>78</v>
      </c>
      <c r="I815" s="1">
        <v>79</v>
      </c>
    </row>
    <row r="816" spans="1:9" x14ac:dyDescent="0.25">
      <c r="A816" s="2" t="s">
        <v>2</v>
      </c>
      <c r="B816" s="1" t="s">
        <v>12</v>
      </c>
      <c r="C816" s="74" t="s">
        <v>53</v>
      </c>
      <c r="D816" s="74">
        <v>158</v>
      </c>
      <c r="E816" s="1" t="s">
        <v>73</v>
      </c>
      <c r="F816" s="1" t="s">
        <v>14</v>
      </c>
      <c r="G816" s="1">
        <v>49</v>
      </c>
      <c r="H816" s="1">
        <v>49</v>
      </c>
      <c r="I816" s="1">
        <v>43</v>
      </c>
    </row>
    <row r="817" spans="1:9" x14ac:dyDescent="0.25">
      <c r="A817" s="2" t="s">
        <v>2</v>
      </c>
      <c r="B817" s="1" t="s">
        <v>12</v>
      </c>
      <c r="C817" s="74" t="s">
        <v>53</v>
      </c>
      <c r="D817" s="74">
        <v>159</v>
      </c>
      <c r="E817" s="1" t="s">
        <v>73</v>
      </c>
      <c r="F817" s="1" t="s">
        <v>14</v>
      </c>
      <c r="G817" s="1">
        <v>67</v>
      </c>
      <c r="H817" s="1">
        <v>63</v>
      </c>
      <c r="I817" s="1">
        <v>63</v>
      </c>
    </row>
    <row r="818" spans="1:9" x14ac:dyDescent="0.25">
      <c r="A818" s="2" t="s">
        <v>2</v>
      </c>
      <c r="B818" s="1" t="s">
        <v>12</v>
      </c>
      <c r="C818" s="74" t="s">
        <v>53</v>
      </c>
      <c r="D818" s="74">
        <v>160</v>
      </c>
      <c r="E818" s="1" t="s">
        <v>73</v>
      </c>
      <c r="F818" s="1" t="s">
        <v>15</v>
      </c>
      <c r="G818" s="1">
        <v>47</v>
      </c>
      <c r="H818" s="1">
        <v>46</v>
      </c>
      <c r="I818" s="1">
        <v>51</v>
      </c>
    </row>
    <row r="819" spans="1:9" x14ac:dyDescent="0.25">
      <c r="A819" s="2" t="s">
        <v>2</v>
      </c>
      <c r="B819" s="1" t="s">
        <v>12</v>
      </c>
      <c r="C819" s="74" t="s">
        <v>53</v>
      </c>
      <c r="D819" s="74">
        <v>161</v>
      </c>
      <c r="E819" s="1" t="s">
        <v>73</v>
      </c>
      <c r="F819" s="1" t="s">
        <v>15</v>
      </c>
      <c r="G819" s="1">
        <v>58</v>
      </c>
      <c r="H819" s="1">
        <v>57</v>
      </c>
      <c r="I819" s="1">
        <v>53</v>
      </c>
    </row>
    <row r="820" spans="1:9" x14ac:dyDescent="0.25">
      <c r="A820" s="2" t="s">
        <v>2</v>
      </c>
      <c r="B820" s="1" t="s">
        <v>12</v>
      </c>
      <c r="C820" s="74" t="s">
        <v>53</v>
      </c>
      <c r="D820" s="74">
        <v>162</v>
      </c>
      <c r="E820" s="1" t="s">
        <v>73</v>
      </c>
      <c r="F820" s="1" t="s">
        <v>15</v>
      </c>
      <c r="G820" s="1">
        <v>40</v>
      </c>
      <c r="H820" s="1">
        <v>50</v>
      </c>
      <c r="I820" s="1">
        <v>47</v>
      </c>
    </row>
    <row r="821" spans="1:9" x14ac:dyDescent="0.25">
      <c r="A821" s="2" t="s">
        <v>2</v>
      </c>
      <c r="B821" s="1" t="s">
        <v>12</v>
      </c>
      <c r="C821" s="74" t="s">
        <v>53</v>
      </c>
      <c r="D821" s="74">
        <v>163</v>
      </c>
      <c r="E821" s="1" t="s">
        <v>73</v>
      </c>
      <c r="F821" s="1" t="s">
        <v>15</v>
      </c>
      <c r="G821" s="1">
        <v>69</v>
      </c>
      <c r="H821" s="1">
        <v>70</v>
      </c>
      <c r="I821" s="1">
        <v>75</v>
      </c>
    </row>
    <row r="822" spans="1:9" x14ac:dyDescent="0.25">
      <c r="A822" s="2" t="s">
        <v>2</v>
      </c>
      <c r="B822" s="1" t="s">
        <v>12</v>
      </c>
      <c r="C822" s="74" t="s">
        <v>53</v>
      </c>
      <c r="D822" s="74">
        <v>164</v>
      </c>
      <c r="E822" s="1" t="s">
        <v>73</v>
      </c>
      <c r="F822" s="1" t="s">
        <v>15</v>
      </c>
      <c r="G822" s="1">
        <v>46</v>
      </c>
      <c r="H822" s="1">
        <v>53</v>
      </c>
      <c r="I822" s="1">
        <v>54</v>
      </c>
    </row>
    <row r="823" spans="1:9" x14ac:dyDescent="0.25">
      <c r="A823" s="2" t="s">
        <v>2</v>
      </c>
      <c r="B823" s="1" t="s">
        <v>12</v>
      </c>
      <c r="C823" s="74" t="s">
        <v>53</v>
      </c>
      <c r="D823" s="74">
        <v>165</v>
      </c>
      <c r="E823" s="1" t="s">
        <v>73</v>
      </c>
      <c r="F823" s="1" t="s">
        <v>15</v>
      </c>
      <c r="G823" s="1">
        <v>35</v>
      </c>
      <c r="H823" s="1">
        <v>56</v>
      </c>
      <c r="I823" s="1">
        <v>54</v>
      </c>
    </row>
    <row r="824" spans="1:9" x14ac:dyDescent="0.25">
      <c r="A824" s="2" t="s">
        <v>2</v>
      </c>
      <c r="B824" s="1" t="s">
        <v>12</v>
      </c>
      <c r="C824" s="75" t="s">
        <v>6</v>
      </c>
      <c r="D824" s="75">
        <v>179</v>
      </c>
      <c r="E824" s="1" t="s">
        <v>7</v>
      </c>
      <c r="F824" s="1" t="s">
        <v>14</v>
      </c>
      <c r="G824" s="1">
        <v>88</v>
      </c>
      <c r="H824" s="1">
        <v>72</v>
      </c>
      <c r="I824" s="1">
        <v>74</v>
      </c>
    </row>
    <row r="825" spans="1:9" x14ac:dyDescent="0.25">
      <c r="A825" s="2" t="s">
        <v>2</v>
      </c>
      <c r="B825" s="1" t="s">
        <v>12</v>
      </c>
      <c r="C825" s="75" t="s">
        <v>6</v>
      </c>
      <c r="D825" s="75">
        <v>180</v>
      </c>
      <c r="E825" s="1" t="s">
        <v>7</v>
      </c>
      <c r="F825" s="1" t="s">
        <v>14</v>
      </c>
      <c r="G825" s="1">
        <v>60</v>
      </c>
      <c r="H825" s="1">
        <v>54</v>
      </c>
      <c r="I825" s="1">
        <v>47</v>
      </c>
    </row>
    <row r="826" spans="1:9" x14ac:dyDescent="0.25">
      <c r="A826" s="2" t="s">
        <v>2</v>
      </c>
      <c r="B826" s="1" t="s">
        <v>12</v>
      </c>
      <c r="C826" s="75" t="s">
        <v>6</v>
      </c>
      <c r="D826" s="75">
        <v>181</v>
      </c>
      <c r="E826" s="1" t="s">
        <v>7</v>
      </c>
      <c r="F826" s="1" t="s">
        <v>14</v>
      </c>
      <c r="G826" s="1">
        <v>83</v>
      </c>
      <c r="H826" s="1">
        <v>78</v>
      </c>
      <c r="I826" s="1">
        <v>74</v>
      </c>
    </row>
    <row r="827" spans="1:9" x14ac:dyDescent="0.25">
      <c r="A827" s="2" t="s">
        <v>2</v>
      </c>
      <c r="B827" s="1" t="s">
        <v>12</v>
      </c>
      <c r="C827" s="75" t="s">
        <v>6</v>
      </c>
      <c r="D827" s="75">
        <v>182</v>
      </c>
      <c r="E827" s="1" t="s">
        <v>7</v>
      </c>
      <c r="F827" s="1" t="s">
        <v>14</v>
      </c>
      <c r="G827" s="1">
        <v>67</v>
      </c>
      <c r="H827" s="1">
        <v>65</v>
      </c>
      <c r="I827" s="1">
        <v>59</v>
      </c>
    </row>
    <row r="828" spans="1:9" x14ac:dyDescent="0.25">
      <c r="A828" s="2" t="s">
        <v>2</v>
      </c>
      <c r="B828" s="1" t="s">
        <v>12</v>
      </c>
      <c r="C828" s="75" t="s">
        <v>6</v>
      </c>
      <c r="D828" s="75">
        <v>183</v>
      </c>
      <c r="E828" s="1" t="s">
        <v>7</v>
      </c>
      <c r="F828" s="1" t="s">
        <v>14</v>
      </c>
      <c r="G828" s="1">
        <v>81</v>
      </c>
      <c r="H828" s="1">
        <v>62</v>
      </c>
      <c r="I828" s="1">
        <v>61</v>
      </c>
    </row>
    <row r="829" spans="1:9" x14ac:dyDescent="0.25">
      <c r="A829" s="2" t="s">
        <v>2</v>
      </c>
      <c r="B829" s="1" t="s">
        <v>12</v>
      </c>
      <c r="C829" s="75" t="s">
        <v>6</v>
      </c>
      <c r="D829" s="75">
        <v>184</v>
      </c>
      <c r="E829" s="1" t="s">
        <v>7</v>
      </c>
      <c r="F829" s="1" t="s">
        <v>14</v>
      </c>
      <c r="G829" s="1">
        <v>85</v>
      </c>
      <c r="H829" s="1">
        <v>81</v>
      </c>
      <c r="I829" s="1">
        <v>83</v>
      </c>
    </row>
    <row r="830" spans="1:9" x14ac:dyDescent="0.25">
      <c r="A830" s="2" t="s">
        <v>2</v>
      </c>
      <c r="B830" s="1" t="s">
        <v>12</v>
      </c>
      <c r="C830" s="75" t="s">
        <v>6</v>
      </c>
      <c r="D830" s="75">
        <v>185</v>
      </c>
      <c r="E830" s="1" t="s">
        <v>7</v>
      </c>
      <c r="F830" s="1" t="s">
        <v>14</v>
      </c>
      <c r="G830" s="1">
        <v>58</v>
      </c>
      <c r="H830" s="1">
        <v>47</v>
      </c>
      <c r="I830" s="1">
        <v>45</v>
      </c>
    </row>
    <row r="831" spans="1:9" x14ac:dyDescent="0.25">
      <c r="A831" s="2" t="s">
        <v>2</v>
      </c>
      <c r="B831" s="1" t="s">
        <v>12</v>
      </c>
      <c r="C831" s="75" t="s">
        <v>6</v>
      </c>
      <c r="D831" s="75">
        <v>186</v>
      </c>
      <c r="E831" s="1" t="s">
        <v>7</v>
      </c>
      <c r="F831" s="1" t="s">
        <v>15</v>
      </c>
      <c r="G831" s="1">
        <v>82</v>
      </c>
      <c r="H831" s="1">
        <v>82</v>
      </c>
      <c r="I831" s="1">
        <v>82</v>
      </c>
    </row>
    <row r="832" spans="1:9" x14ac:dyDescent="0.25">
      <c r="A832" s="2" t="s">
        <v>2</v>
      </c>
      <c r="B832" s="1" t="s">
        <v>12</v>
      </c>
      <c r="C832" s="75" t="s">
        <v>6</v>
      </c>
      <c r="D832" s="75">
        <v>187</v>
      </c>
      <c r="E832" s="1" t="s">
        <v>7</v>
      </c>
      <c r="F832" s="1" t="s">
        <v>15</v>
      </c>
      <c r="G832" s="1">
        <v>81</v>
      </c>
      <c r="H832" s="1">
        <v>74</v>
      </c>
      <c r="I832" s="1">
        <v>79</v>
      </c>
    </row>
    <row r="833" spans="1:9" x14ac:dyDescent="0.25">
      <c r="A833" s="2" t="s">
        <v>2</v>
      </c>
      <c r="B833" s="1" t="s">
        <v>12</v>
      </c>
      <c r="C833" s="75" t="s">
        <v>6</v>
      </c>
      <c r="D833" s="75">
        <v>188</v>
      </c>
      <c r="E833" s="1" t="s">
        <v>7</v>
      </c>
      <c r="F833" s="1" t="s">
        <v>15</v>
      </c>
      <c r="G833" s="1">
        <v>62</v>
      </c>
      <c r="H833" s="1">
        <v>69</v>
      </c>
      <c r="I833" s="1">
        <v>67</v>
      </c>
    </row>
    <row r="834" spans="1:9" x14ac:dyDescent="0.25">
      <c r="A834" s="2" t="s">
        <v>2</v>
      </c>
      <c r="B834" s="1" t="s">
        <v>12</v>
      </c>
      <c r="C834" s="75" t="s">
        <v>6</v>
      </c>
      <c r="D834" s="75">
        <v>189</v>
      </c>
      <c r="E834" s="1" t="s">
        <v>7</v>
      </c>
      <c r="F834" s="1" t="s">
        <v>15</v>
      </c>
      <c r="G834" s="1">
        <v>65</v>
      </c>
      <c r="H834" s="1">
        <v>60</v>
      </c>
      <c r="I834" s="1">
        <v>57</v>
      </c>
    </row>
    <row r="835" spans="1:9" x14ac:dyDescent="0.25">
      <c r="A835" s="2" t="s">
        <v>2</v>
      </c>
      <c r="B835" s="1" t="s">
        <v>12</v>
      </c>
      <c r="C835" s="75" t="s">
        <v>6</v>
      </c>
      <c r="D835" s="75">
        <v>190</v>
      </c>
      <c r="E835" s="1" t="s">
        <v>7</v>
      </c>
      <c r="F835" s="1" t="s">
        <v>15</v>
      </c>
      <c r="G835" s="1">
        <v>72</v>
      </c>
      <c r="H835" s="1">
        <v>69</v>
      </c>
      <c r="I835" s="1">
        <v>74</v>
      </c>
    </row>
    <row r="836" spans="1:9" x14ac:dyDescent="0.25">
      <c r="A836" s="2" t="s">
        <v>2</v>
      </c>
      <c r="B836" s="1" t="s">
        <v>12</v>
      </c>
      <c r="C836" s="75" t="s">
        <v>6</v>
      </c>
      <c r="D836" s="75">
        <v>191</v>
      </c>
      <c r="E836" s="1" t="s">
        <v>7</v>
      </c>
      <c r="F836" s="1" t="s">
        <v>15</v>
      </c>
      <c r="G836" s="1">
        <v>88</v>
      </c>
      <c r="H836" s="1">
        <v>77</v>
      </c>
      <c r="I836" s="1">
        <v>78</v>
      </c>
    </row>
    <row r="837" spans="1:9" x14ac:dyDescent="0.25">
      <c r="A837" s="2" t="s">
        <v>2</v>
      </c>
      <c r="B837" s="1" t="s">
        <v>12</v>
      </c>
      <c r="C837" s="75" t="s">
        <v>6</v>
      </c>
      <c r="D837" s="75">
        <v>192</v>
      </c>
      <c r="E837" s="1" t="s">
        <v>7</v>
      </c>
      <c r="F837" s="1" t="s">
        <v>15</v>
      </c>
      <c r="G837" s="1">
        <v>76</v>
      </c>
      <c r="H837" s="1">
        <v>75</v>
      </c>
      <c r="I837" s="1">
        <v>77</v>
      </c>
    </row>
    <row r="838" spans="1:9" x14ac:dyDescent="0.25">
      <c r="A838" s="2" t="s">
        <v>2</v>
      </c>
      <c r="B838" s="1" t="s">
        <v>12</v>
      </c>
      <c r="C838" s="75" t="s">
        <v>6</v>
      </c>
      <c r="D838" s="75">
        <v>193</v>
      </c>
      <c r="E838" s="1" t="s">
        <v>7</v>
      </c>
      <c r="F838" s="1" t="s">
        <v>15</v>
      </c>
      <c r="G838" s="1">
        <v>78</v>
      </c>
      <c r="H838" s="1">
        <v>76</v>
      </c>
      <c r="I838" s="1">
        <v>80</v>
      </c>
    </row>
    <row r="839" spans="1:9" x14ac:dyDescent="0.25">
      <c r="A839" s="2" t="s">
        <v>2</v>
      </c>
      <c r="B839" s="1" t="s">
        <v>12</v>
      </c>
      <c r="C839" s="75" t="s">
        <v>6</v>
      </c>
      <c r="D839" s="75">
        <v>194</v>
      </c>
      <c r="E839" s="1" t="s">
        <v>7</v>
      </c>
      <c r="F839" s="1" t="s">
        <v>15</v>
      </c>
      <c r="G839" s="1">
        <v>70</v>
      </c>
      <c r="H839" s="1">
        <v>72</v>
      </c>
      <c r="I839" s="1">
        <v>67</v>
      </c>
    </row>
    <row r="840" spans="1:9" x14ac:dyDescent="0.25">
      <c r="A840" s="2" t="s">
        <v>2</v>
      </c>
      <c r="B840" s="1" t="s">
        <v>12</v>
      </c>
      <c r="C840" s="75" t="s">
        <v>6</v>
      </c>
      <c r="D840" s="75">
        <v>195</v>
      </c>
      <c r="E840" s="1" t="s">
        <v>73</v>
      </c>
      <c r="F840" s="1" t="s">
        <v>14</v>
      </c>
      <c r="G840" s="1">
        <v>58</v>
      </c>
      <c r="H840" s="1">
        <v>52</v>
      </c>
      <c r="I840" s="1">
        <v>51</v>
      </c>
    </row>
    <row r="841" spans="1:9" x14ac:dyDescent="0.25">
      <c r="A841" s="2" t="s">
        <v>2</v>
      </c>
      <c r="B841" s="1" t="s">
        <v>12</v>
      </c>
      <c r="C841" s="75" t="s">
        <v>6</v>
      </c>
      <c r="D841" s="75">
        <v>196</v>
      </c>
      <c r="E841" s="1" t="s">
        <v>73</v>
      </c>
      <c r="F841" s="1" t="s">
        <v>14</v>
      </c>
      <c r="G841" s="1">
        <v>54</v>
      </c>
      <c r="H841" s="1">
        <v>53</v>
      </c>
      <c r="I841" s="1">
        <v>47</v>
      </c>
    </row>
    <row r="842" spans="1:9" x14ac:dyDescent="0.25">
      <c r="A842" s="2" t="s">
        <v>2</v>
      </c>
      <c r="B842" s="1" t="s">
        <v>12</v>
      </c>
      <c r="C842" s="75" t="s">
        <v>6</v>
      </c>
      <c r="D842" s="75">
        <v>197</v>
      </c>
      <c r="E842" s="1" t="s">
        <v>73</v>
      </c>
      <c r="F842" s="1" t="s">
        <v>14</v>
      </c>
      <c r="G842" s="1">
        <v>48</v>
      </c>
      <c r="H842" s="1">
        <v>46</v>
      </c>
      <c r="I842" s="1">
        <v>50</v>
      </c>
    </row>
    <row r="843" spans="1:9" x14ac:dyDescent="0.25">
      <c r="A843" s="2" t="s">
        <v>2</v>
      </c>
      <c r="B843" s="1" t="s">
        <v>12</v>
      </c>
      <c r="C843" s="75" t="s">
        <v>6</v>
      </c>
      <c r="D843" s="75">
        <v>198</v>
      </c>
      <c r="E843" s="1" t="s">
        <v>73</v>
      </c>
      <c r="F843" s="1" t="s">
        <v>14</v>
      </c>
      <c r="G843" s="1">
        <v>54</v>
      </c>
      <c r="H843" s="1">
        <v>49</v>
      </c>
      <c r="I843" s="1">
        <v>48</v>
      </c>
    </row>
    <row r="844" spans="1:9" x14ac:dyDescent="0.25">
      <c r="A844" s="2" t="s">
        <v>2</v>
      </c>
      <c r="B844" s="1" t="s">
        <v>12</v>
      </c>
      <c r="C844" s="75" t="s">
        <v>6</v>
      </c>
      <c r="D844" s="75">
        <v>199</v>
      </c>
      <c r="E844" s="1" t="s">
        <v>73</v>
      </c>
      <c r="F844" s="1" t="s">
        <v>14</v>
      </c>
      <c r="G844" s="1">
        <v>51</v>
      </c>
      <c r="H844" s="1">
        <v>56</v>
      </c>
      <c r="I844" s="1">
        <v>50</v>
      </c>
    </row>
    <row r="845" spans="1:9" x14ac:dyDescent="0.25">
      <c r="A845" s="2" t="s">
        <v>2</v>
      </c>
      <c r="B845" s="1" t="s">
        <v>12</v>
      </c>
      <c r="C845" s="75" t="s">
        <v>6</v>
      </c>
      <c r="D845" s="75">
        <v>200</v>
      </c>
      <c r="E845" s="1" t="s">
        <v>73</v>
      </c>
      <c r="F845" s="1" t="s">
        <v>15</v>
      </c>
      <c r="G845" s="1">
        <v>38</v>
      </c>
      <c r="H845" s="1">
        <v>38</v>
      </c>
      <c r="I845" s="1">
        <v>41</v>
      </c>
    </row>
    <row r="846" spans="1:9" x14ac:dyDescent="0.25">
      <c r="A846" s="2" t="s">
        <v>2</v>
      </c>
      <c r="B846" s="1" t="s">
        <v>12</v>
      </c>
      <c r="C846" s="75" t="s">
        <v>6</v>
      </c>
      <c r="D846" s="75">
        <v>201</v>
      </c>
      <c r="E846" s="1" t="s">
        <v>73</v>
      </c>
      <c r="F846" s="1" t="s">
        <v>15</v>
      </c>
      <c r="G846" s="1">
        <v>58</v>
      </c>
      <c r="H846" s="1">
        <v>67</v>
      </c>
      <c r="I846" s="1">
        <v>67</v>
      </c>
    </row>
    <row r="847" spans="1:9" x14ac:dyDescent="0.25">
      <c r="A847" s="2" t="s">
        <v>2</v>
      </c>
      <c r="B847" s="1" t="s">
        <v>12</v>
      </c>
      <c r="C847" s="76" t="s">
        <v>54</v>
      </c>
      <c r="D847" s="76">
        <v>158</v>
      </c>
      <c r="E847" s="1" t="s">
        <v>7</v>
      </c>
      <c r="F847" s="1" t="s">
        <v>14</v>
      </c>
      <c r="G847" s="1">
        <v>96</v>
      </c>
      <c r="H847" s="1">
        <v>93</v>
      </c>
      <c r="I847" s="1">
        <v>87</v>
      </c>
    </row>
    <row r="848" spans="1:9" x14ac:dyDescent="0.25">
      <c r="A848" s="2" t="s">
        <v>2</v>
      </c>
      <c r="B848" s="1" t="s">
        <v>12</v>
      </c>
      <c r="C848" s="76" t="s">
        <v>54</v>
      </c>
      <c r="D848" s="76">
        <v>159</v>
      </c>
      <c r="E848" s="1" t="s">
        <v>7</v>
      </c>
      <c r="F848" s="1" t="s">
        <v>14</v>
      </c>
      <c r="G848" s="1">
        <v>90</v>
      </c>
      <c r="H848" s="1">
        <v>87</v>
      </c>
      <c r="I848" s="1">
        <v>86</v>
      </c>
    </row>
    <row r="849" spans="1:9" x14ac:dyDescent="0.25">
      <c r="A849" s="2" t="s">
        <v>2</v>
      </c>
      <c r="B849" s="1" t="s">
        <v>12</v>
      </c>
      <c r="C849" s="76" t="s">
        <v>54</v>
      </c>
      <c r="D849" s="76">
        <v>160</v>
      </c>
      <c r="E849" s="1" t="s">
        <v>7</v>
      </c>
      <c r="F849" s="1" t="s">
        <v>14</v>
      </c>
      <c r="G849" s="1">
        <v>80</v>
      </c>
      <c r="H849" s="1">
        <v>70</v>
      </c>
      <c r="I849" s="1">
        <v>73</v>
      </c>
    </row>
    <row r="850" spans="1:9" x14ac:dyDescent="0.25">
      <c r="A850" s="2" t="s">
        <v>2</v>
      </c>
      <c r="B850" s="1" t="s">
        <v>12</v>
      </c>
      <c r="C850" s="76" t="s">
        <v>54</v>
      </c>
      <c r="D850" s="76">
        <v>161</v>
      </c>
      <c r="E850" s="1" t="s">
        <v>7</v>
      </c>
      <c r="F850" s="1" t="s">
        <v>14</v>
      </c>
      <c r="G850" s="1">
        <v>74</v>
      </c>
      <c r="H850" s="1">
        <v>69</v>
      </c>
      <c r="I850" s="1">
        <v>63</v>
      </c>
    </row>
    <row r="851" spans="1:9" x14ac:dyDescent="0.25">
      <c r="A851" s="2" t="s">
        <v>2</v>
      </c>
      <c r="B851" s="1" t="s">
        <v>12</v>
      </c>
      <c r="C851" s="76" t="s">
        <v>54</v>
      </c>
      <c r="D851" s="76">
        <v>162</v>
      </c>
      <c r="E851" s="1" t="s">
        <v>7</v>
      </c>
      <c r="F851" s="1" t="s">
        <v>14</v>
      </c>
      <c r="G851" s="1">
        <v>57</v>
      </c>
      <c r="H851" s="1">
        <v>63</v>
      </c>
      <c r="I851" s="1">
        <v>54</v>
      </c>
    </row>
    <row r="852" spans="1:9" x14ac:dyDescent="0.25">
      <c r="A852" s="2" t="s">
        <v>2</v>
      </c>
      <c r="B852" s="1" t="s">
        <v>12</v>
      </c>
      <c r="C852" s="76" t="s">
        <v>54</v>
      </c>
      <c r="D852" s="76">
        <v>163</v>
      </c>
      <c r="E852" s="1" t="s">
        <v>7</v>
      </c>
      <c r="F852" s="1" t="s">
        <v>14</v>
      </c>
      <c r="G852" s="1">
        <v>67</v>
      </c>
      <c r="H852" s="1">
        <v>72</v>
      </c>
      <c r="I852" s="1">
        <v>65</v>
      </c>
    </row>
    <row r="853" spans="1:9" x14ac:dyDescent="0.25">
      <c r="A853" s="2" t="s">
        <v>2</v>
      </c>
      <c r="B853" s="1" t="s">
        <v>12</v>
      </c>
      <c r="C853" s="76" t="s">
        <v>54</v>
      </c>
      <c r="D853" s="76">
        <v>164</v>
      </c>
      <c r="E853" s="1" t="s">
        <v>7</v>
      </c>
      <c r="F853" s="1" t="s">
        <v>14</v>
      </c>
      <c r="G853" s="1">
        <v>74</v>
      </c>
      <c r="H853" s="1">
        <v>70</v>
      </c>
      <c r="I853" s="1">
        <v>63</v>
      </c>
    </row>
    <row r="854" spans="1:9" x14ac:dyDescent="0.25">
      <c r="A854" s="2" t="s">
        <v>2</v>
      </c>
      <c r="B854" s="1" t="s">
        <v>12</v>
      </c>
      <c r="C854" s="76" t="s">
        <v>54</v>
      </c>
      <c r="D854" s="76">
        <v>165</v>
      </c>
      <c r="E854" s="1" t="s">
        <v>7</v>
      </c>
      <c r="F854" s="1" t="s">
        <v>14</v>
      </c>
      <c r="G854" s="1">
        <v>95</v>
      </c>
      <c r="H854" s="1">
        <v>86</v>
      </c>
      <c r="I854" s="1">
        <v>83</v>
      </c>
    </row>
    <row r="855" spans="1:9" x14ac:dyDescent="0.25">
      <c r="A855" s="2" t="s">
        <v>2</v>
      </c>
      <c r="B855" s="1" t="s">
        <v>12</v>
      </c>
      <c r="C855" s="76" t="s">
        <v>54</v>
      </c>
      <c r="D855" s="76">
        <v>166</v>
      </c>
      <c r="E855" s="1" t="s">
        <v>7</v>
      </c>
      <c r="F855" s="1" t="s">
        <v>14</v>
      </c>
      <c r="G855" s="1">
        <v>89</v>
      </c>
      <c r="H855" s="1">
        <v>78</v>
      </c>
      <c r="I855" s="1">
        <v>76</v>
      </c>
    </row>
    <row r="856" spans="1:9" x14ac:dyDescent="0.25">
      <c r="A856" s="2" t="s">
        <v>2</v>
      </c>
      <c r="B856" s="1" t="s">
        <v>12</v>
      </c>
      <c r="C856" s="76" t="s">
        <v>54</v>
      </c>
      <c r="D856" s="76">
        <v>167</v>
      </c>
      <c r="E856" s="1" t="s">
        <v>7</v>
      </c>
      <c r="F856" s="1" t="s">
        <v>14</v>
      </c>
      <c r="G856" s="1">
        <v>72</v>
      </c>
      <c r="H856" s="1">
        <v>67</v>
      </c>
      <c r="I856" s="1">
        <v>59</v>
      </c>
    </row>
    <row r="857" spans="1:9" x14ac:dyDescent="0.25">
      <c r="A857" s="2" t="s">
        <v>2</v>
      </c>
      <c r="B857" s="1" t="s">
        <v>12</v>
      </c>
      <c r="C857" s="76" t="s">
        <v>54</v>
      </c>
      <c r="D857" s="76">
        <v>168</v>
      </c>
      <c r="E857" s="1" t="s">
        <v>7</v>
      </c>
      <c r="F857" s="1" t="s">
        <v>14</v>
      </c>
      <c r="G857" s="1">
        <v>71</v>
      </c>
      <c r="H857" s="1">
        <v>73</v>
      </c>
      <c r="I857" s="1">
        <v>69</v>
      </c>
    </row>
    <row r="858" spans="1:9" x14ac:dyDescent="0.25">
      <c r="A858" s="2" t="s">
        <v>2</v>
      </c>
      <c r="B858" s="1" t="s">
        <v>12</v>
      </c>
      <c r="C858" s="76" t="s">
        <v>54</v>
      </c>
      <c r="D858" s="76">
        <v>169</v>
      </c>
      <c r="E858" s="1" t="s">
        <v>7</v>
      </c>
      <c r="F858" s="1" t="s">
        <v>14</v>
      </c>
      <c r="G858" s="1">
        <v>97</v>
      </c>
      <c r="H858" s="1">
        <v>94</v>
      </c>
      <c r="I858" s="1">
        <v>91</v>
      </c>
    </row>
    <row r="859" spans="1:9" x14ac:dyDescent="0.25">
      <c r="A859" s="2" t="s">
        <v>2</v>
      </c>
      <c r="B859" s="1" t="s">
        <v>12</v>
      </c>
      <c r="C859" s="76" t="s">
        <v>54</v>
      </c>
      <c r="D859" s="76">
        <v>170</v>
      </c>
      <c r="E859" s="1" t="s">
        <v>7</v>
      </c>
      <c r="F859" s="1" t="s">
        <v>14</v>
      </c>
      <c r="G859" s="1">
        <v>81</v>
      </c>
      <c r="H859" s="1">
        <v>74</v>
      </c>
      <c r="I859" s="1">
        <v>74</v>
      </c>
    </row>
    <row r="860" spans="1:9" x14ac:dyDescent="0.25">
      <c r="A860" s="2" t="s">
        <v>2</v>
      </c>
      <c r="B860" s="1" t="s">
        <v>12</v>
      </c>
      <c r="C860" s="76" t="s">
        <v>54</v>
      </c>
      <c r="D860" s="76">
        <v>171</v>
      </c>
      <c r="E860" s="1" t="s">
        <v>7</v>
      </c>
      <c r="F860" s="1" t="s">
        <v>14</v>
      </c>
      <c r="G860" s="1">
        <v>86</v>
      </c>
      <c r="H860" s="1">
        <v>84</v>
      </c>
      <c r="I860" s="1">
        <v>82</v>
      </c>
    </row>
    <row r="861" spans="1:9" x14ac:dyDescent="0.25">
      <c r="A861" s="2" t="s">
        <v>2</v>
      </c>
      <c r="B861" s="1" t="s">
        <v>12</v>
      </c>
      <c r="C861" s="76" t="s">
        <v>54</v>
      </c>
      <c r="D861" s="76">
        <v>172</v>
      </c>
      <c r="E861" s="1" t="s">
        <v>7</v>
      </c>
      <c r="F861" s="1" t="s">
        <v>14</v>
      </c>
      <c r="G861" s="1">
        <v>99</v>
      </c>
      <c r="H861" s="1">
        <v>97</v>
      </c>
      <c r="I861" s="1">
        <v>95</v>
      </c>
    </row>
    <row r="862" spans="1:9" x14ac:dyDescent="0.25">
      <c r="A862" s="2" t="s">
        <v>2</v>
      </c>
      <c r="B862" s="1" t="s">
        <v>12</v>
      </c>
      <c r="C862" s="76" t="s">
        <v>54</v>
      </c>
      <c r="D862" s="76">
        <v>173</v>
      </c>
      <c r="E862" s="1" t="s">
        <v>7</v>
      </c>
      <c r="F862" s="1" t="s">
        <v>14</v>
      </c>
      <c r="G862" s="1">
        <v>86</v>
      </c>
      <c r="H862" s="1">
        <v>72</v>
      </c>
      <c r="I862" s="1">
        <v>76</v>
      </c>
    </row>
    <row r="863" spans="1:9" x14ac:dyDescent="0.25">
      <c r="A863" s="2" t="s">
        <v>2</v>
      </c>
      <c r="B863" s="1" t="s">
        <v>12</v>
      </c>
      <c r="C863" s="76" t="s">
        <v>54</v>
      </c>
      <c r="D863" s="76">
        <v>174</v>
      </c>
      <c r="E863" s="1" t="s">
        <v>7</v>
      </c>
      <c r="F863" s="1" t="s">
        <v>14</v>
      </c>
      <c r="G863" s="1">
        <v>44</v>
      </c>
      <c r="H863" s="1">
        <v>45</v>
      </c>
      <c r="I863" s="1">
        <v>41</v>
      </c>
    </row>
    <row r="864" spans="1:9" x14ac:dyDescent="0.25">
      <c r="A864" s="2" t="s">
        <v>2</v>
      </c>
      <c r="B864" s="1" t="s">
        <v>12</v>
      </c>
      <c r="C864" s="76" t="s">
        <v>54</v>
      </c>
      <c r="D864" s="76">
        <v>175</v>
      </c>
      <c r="E864" s="1" t="s">
        <v>7</v>
      </c>
      <c r="F864" s="1" t="s">
        <v>14</v>
      </c>
      <c r="G864" s="1">
        <v>61</v>
      </c>
      <c r="H864" s="1">
        <v>56</v>
      </c>
      <c r="I864" s="1">
        <v>56</v>
      </c>
    </row>
    <row r="865" spans="1:9" x14ac:dyDescent="0.25">
      <c r="A865" s="2" t="s">
        <v>2</v>
      </c>
      <c r="B865" s="1" t="s">
        <v>12</v>
      </c>
      <c r="C865" s="76" t="s">
        <v>54</v>
      </c>
      <c r="D865" s="76">
        <v>176</v>
      </c>
      <c r="E865" s="1" t="s">
        <v>7</v>
      </c>
      <c r="F865" s="1" t="s">
        <v>14</v>
      </c>
      <c r="G865" s="1">
        <v>72</v>
      </c>
      <c r="H865" s="1">
        <v>62</v>
      </c>
      <c r="I865" s="1">
        <v>60</v>
      </c>
    </row>
    <row r="866" spans="1:9" x14ac:dyDescent="0.25">
      <c r="A866" s="2" t="s">
        <v>2</v>
      </c>
      <c r="B866" s="1" t="s">
        <v>12</v>
      </c>
      <c r="C866" s="76" t="s">
        <v>54</v>
      </c>
      <c r="D866" s="76">
        <v>177</v>
      </c>
      <c r="E866" s="1" t="s">
        <v>7</v>
      </c>
      <c r="F866" s="1" t="s">
        <v>14</v>
      </c>
      <c r="G866" s="1">
        <v>100</v>
      </c>
      <c r="H866" s="1">
        <v>93</v>
      </c>
      <c r="I866" s="1">
        <v>89</v>
      </c>
    </row>
    <row r="867" spans="1:9" x14ac:dyDescent="0.25">
      <c r="A867" s="2" t="s">
        <v>2</v>
      </c>
      <c r="B867" s="1" t="s">
        <v>12</v>
      </c>
      <c r="C867" s="76" t="s">
        <v>54</v>
      </c>
      <c r="D867" s="76">
        <v>178</v>
      </c>
      <c r="E867" s="1" t="s">
        <v>7</v>
      </c>
      <c r="F867" s="1" t="s">
        <v>15</v>
      </c>
      <c r="G867" s="1">
        <v>99</v>
      </c>
      <c r="H867" s="1">
        <v>85</v>
      </c>
      <c r="I867" s="1">
        <v>88</v>
      </c>
    </row>
    <row r="868" spans="1:9" x14ac:dyDescent="0.25">
      <c r="A868" s="2" t="s">
        <v>2</v>
      </c>
      <c r="B868" s="1" t="s">
        <v>12</v>
      </c>
      <c r="C868" s="76" t="s">
        <v>54</v>
      </c>
      <c r="D868" s="76">
        <v>179</v>
      </c>
      <c r="E868" s="1" t="s">
        <v>7</v>
      </c>
      <c r="F868" s="1" t="s">
        <v>15</v>
      </c>
      <c r="G868" s="1">
        <v>68</v>
      </c>
      <c r="H868" s="1">
        <v>66</v>
      </c>
      <c r="I868" s="1">
        <v>72</v>
      </c>
    </row>
    <row r="869" spans="1:9" x14ac:dyDescent="0.25">
      <c r="A869" s="2" t="s">
        <v>2</v>
      </c>
      <c r="B869" s="1" t="s">
        <v>12</v>
      </c>
      <c r="C869" s="76" t="s">
        <v>54</v>
      </c>
      <c r="D869" s="76">
        <v>180</v>
      </c>
      <c r="E869" s="1" t="s">
        <v>7</v>
      </c>
      <c r="F869" s="1" t="s">
        <v>15</v>
      </c>
      <c r="G869" s="1">
        <v>67</v>
      </c>
      <c r="H869" s="1">
        <v>68</v>
      </c>
      <c r="I869" s="1">
        <v>69</v>
      </c>
    </row>
    <row r="870" spans="1:9" x14ac:dyDescent="0.25">
      <c r="A870" s="2" t="s">
        <v>2</v>
      </c>
      <c r="B870" s="1" t="s">
        <v>12</v>
      </c>
      <c r="C870" s="76" t="s">
        <v>54</v>
      </c>
      <c r="D870" s="76">
        <v>181</v>
      </c>
      <c r="E870" s="1" t="s">
        <v>7</v>
      </c>
      <c r="F870" s="1" t="s">
        <v>15</v>
      </c>
      <c r="G870" s="1">
        <v>99</v>
      </c>
      <c r="H870" s="1">
        <v>100</v>
      </c>
      <c r="I870" s="1">
        <v>100</v>
      </c>
    </row>
    <row r="871" spans="1:9" x14ac:dyDescent="0.25">
      <c r="A871" s="2" t="s">
        <v>2</v>
      </c>
      <c r="B871" s="1" t="s">
        <v>12</v>
      </c>
      <c r="C871" s="76" t="s">
        <v>54</v>
      </c>
      <c r="D871" s="76">
        <v>182</v>
      </c>
      <c r="E871" s="1" t="s">
        <v>7</v>
      </c>
      <c r="F871" s="1" t="s">
        <v>15</v>
      </c>
      <c r="G871" s="1">
        <v>89</v>
      </c>
      <c r="H871" s="1">
        <v>75</v>
      </c>
      <c r="I871" s="1">
        <v>80</v>
      </c>
    </row>
    <row r="872" spans="1:9" x14ac:dyDescent="0.25">
      <c r="A872" s="2" t="s">
        <v>2</v>
      </c>
      <c r="B872" s="1" t="s">
        <v>12</v>
      </c>
      <c r="C872" s="76" t="s">
        <v>54</v>
      </c>
      <c r="D872" s="76">
        <v>183</v>
      </c>
      <c r="E872" s="1" t="s">
        <v>7</v>
      </c>
      <c r="F872" s="1" t="s">
        <v>15</v>
      </c>
      <c r="G872" s="1">
        <v>89</v>
      </c>
      <c r="H872" s="1">
        <v>83</v>
      </c>
      <c r="I872" s="1">
        <v>81</v>
      </c>
    </row>
    <row r="873" spans="1:9" x14ac:dyDescent="0.25">
      <c r="A873" s="2" t="s">
        <v>2</v>
      </c>
      <c r="B873" s="1" t="s">
        <v>12</v>
      </c>
      <c r="C873" s="76" t="s">
        <v>54</v>
      </c>
      <c r="D873" s="76">
        <v>184</v>
      </c>
      <c r="E873" s="1" t="s">
        <v>7</v>
      </c>
      <c r="F873" s="1" t="s">
        <v>15</v>
      </c>
      <c r="G873" s="1">
        <v>100</v>
      </c>
      <c r="H873" s="1">
        <v>100</v>
      </c>
      <c r="I873" s="1">
        <v>98</v>
      </c>
    </row>
    <row r="874" spans="1:9" x14ac:dyDescent="0.25">
      <c r="A874" s="2" t="s">
        <v>2</v>
      </c>
      <c r="B874" s="1" t="s">
        <v>12</v>
      </c>
      <c r="C874" s="76" t="s">
        <v>54</v>
      </c>
      <c r="D874" s="76">
        <v>185</v>
      </c>
      <c r="E874" s="1" t="s">
        <v>7</v>
      </c>
      <c r="F874" s="1" t="s">
        <v>15</v>
      </c>
      <c r="G874" s="1">
        <v>67</v>
      </c>
      <c r="H874" s="1">
        <v>62</v>
      </c>
      <c r="I874" s="1">
        <v>67</v>
      </c>
    </row>
    <row r="875" spans="1:9" x14ac:dyDescent="0.25">
      <c r="A875" s="2" t="s">
        <v>2</v>
      </c>
      <c r="B875" s="1" t="s">
        <v>12</v>
      </c>
      <c r="C875" s="76" t="s">
        <v>54</v>
      </c>
      <c r="D875" s="76">
        <v>186</v>
      </c>
      <c r="E875" s="1" t="s">
        <v>73</v>
      </c>
      <c r="F875" s="1" t="s">
        <v>14</v>
      </c>
      <c r="G875" s="1">
        <v>68</v>
      </c>
      <c r="H875" s="1">
        <v>69</v>
      </c>
      <c r="I875" s="1">
        <v>55</v>
      </c>
    </row>
    <row r="876" spans="1:9" x14ac:dyDescent="0.25">
      <c r="A876" s="2" t="s">
        <v>2</v>
      </c>
      <c r="B876" s="1" t="s">
        <v>12</v>
      </c>
      <c r="C876" s="76" t="s">
        <v>54</v>
      </c>
      <c r="D876" s="76">
        <v>187</v>
      </c>
      <c r="E876" s="1" t="s">
        <v>73</v>
      </c>
      <c r="F876" s="1" t="s">
        <v>14</v>
      </c>
      <c r="G876" s="1">
        <v>82</v>
      </c>
      <c r="H876" s="1">
        <v>76</v>
      </c>
      <c r="I876" s="1">
        <v>75</v>
      </c>
    </row>
    <row r="877" spans="1:9" x14ac:dyDescent="0.25">
      <c r="A877" s="2" t="s">
        <v>2</v>
      </c>
      <c r="B877" s="1" t="s">
        <v>12</v>
      </c>
      <c r="C877" s="76" t="s">
        <v>54</v>
      </c>
      <c r="D877" s="76">
        <v>188</v>
      </c>
      <c r="E877" s="1" t="s">
        <v>73</v>
      </c>
      <c r="F877" s="1" t="s">
        <v>14</v>
      </c>
      <c r="G877" s="1">
        <v>49</v>
      </c>
      <c r="H877" s="1">
        <v>54</v>
      </c>
      <c r="I877" s="1">
        <v>50</v>
      </c>
    </row>
    <row r="878" spans="1:9" x14ac:dyDescent="0.25">
      <c r="A878" s="2" t="s">
        <v>2</v>
      </c>
      <c r="B878" s="1" t="s">
        <v>12</v>
      </c>
      <c r="C878" s="76" t="s">
        <v>54</v>
      </c>
      <c r="D878" s="76">
        <v>189</v>
      </c>
      <c r="E878" s="1" t="s">
        <v>73</v>
      </c>
      <c r="F878" s="1" t="s">
        <v>15</v>
      </c>
      <c r="G878" s="1">
        <v>82</v>
      </c>
      <c r="H878" s="1">
        <v>78</v>
      </c>
      <c r="I878" s="1">
        <v>90</v>
      </c>
    </row>
    <row r="879" spans="1:9" x14ac:dyDescent="0.25">
      <c r="A879" s="2" t="s">
        <v>2</v>
      </c>
      <c r="B879" s="1" t="s">
        <v>12</v>
      </c>
      <c r="C879" s="76" t="s">
        <v>54</v>
      </c>
      <c r="D879" s="76">
        <v>190</v>
      </c>
      <c r="E879" s="1" t="s">
        <v>73</v>
      </c>
      <c r="F879" s="1" t="s">
        <v>15</v>
      </c>
      <c r="G879" s="1">
        <v>57</v>
      </c>
      <c r="H879" s="1">
        <v>58</v>
      </c>
      <c r="I879" s="1">
        <v>54</v>
      </c>
    </row>
    <row r="880" spans="1:9" x14ac:dyDescent="0.25">
      <c r="A880" s="2" t="s">
        <v>2</v>
      </c>
      <c r="B880" s="1" t="s">
        <v>12</v>
      </c>
      <c r="C880" s="76" t="s">
        <v>54</v>
      </c>
      <c r="D880" s="76">
        <v>191</v>
      </c>
      <c r="E880" s="1" t="s">
        <v>73</v>
      </c>
      <c r="F880" s="1" t="s">
        <v>15</v>
      </c>
      <c r="G880" s="1">
        <v>75</v>
      </c>
      <c r="H880" s="1">
        <v>78</v>
      </c>
      <c r="I880" s="1">
        <v>77</v>
      </c>
    </row>
    <row r="881" spans="1:9" x14ac:dyDescent="0.25">
      <c r="A881" s="2" t="s">
        <v>2</v>
      </c>
      <c r="B881" s="1" t="s">
        <v>12</v>
      </c>
      <c r="C881" s="77" t="s">
        <v>42</v>
      </c>
      <c r="D881" s="77">
        <v>177</v>
      </c>
      <c r="E881" s="1" t="s">
        <v>7</v>
      </c>
      <c r="F881" s="1" t="s">
        <v>14</v>
      </c>
      <c r="G881" s="1">
        <v>69</v>
      </c>
      <c r="H881" s="1">
        <v>73</v>
      </c>
      <c r="I881" s="1">
        <v>67</v>
      </c>
    </row>
    <row r="882" spans="1:9" x14ac:dyDescent="0.25">
      <c r="A882" s="2" t="s">
        <v>2</v>
      </c>
      <c r="B882" s="1" t="s">
        <v>12</v>
      </c>
      <c r="C882" s="77" t="s">
        <v>42</v>
      </c>
      <c r="D882" s="77">
        <v>178</v>
      </c>
      <c r="E882" s="1" t="s">
        <v>7</v>
      </c>
      <c r="F882" s="1" t="s">
        <v>14</v>
      </c>
      <c r="G882" s="1">
        <v>80</v>
      </c>
      <c r="H882" s="1">
        <v>75</v>
      </c>
      <c r="I882" s="1">
        <v>74</v>
      </c>
    </row>
    <row r="883" spans="1:9" x14ac:dyDescent="0.25">
      <c r="A883" s="2" t="s">
        <v>2</v>
      </c>
      <c r="B883" s="1" t="s">
        <v>12</v>
      </c>
      <c r="C883" s="77" t="s">
        <v>42</v>
      </c>
      <c r="D883" s="77">
        <v>179</v>
      </c>
      <c r="E883" s="1" t="s">
        <v>7</v>
      </c>
      <c r="F883" s="1" t="s">
        <v>14</v>
      </c>
      <c r="G883" s="1">
        <v>74</v>
      </c>
      <c r="H883" s="1">
        <v>74</v>
      </c>
      <c r="I883" s="1">
        <v>70</v>
      </c>
    </row>
    <row r="884" spans="1:9" x14ac:dyDescent="0.25">
      <c r="A884" s="2" t="s">
        <v>2</v>
      </c>
      <c r="B884" s="1" t="s">
        <v>12</v>
      </c>
      <c r="C884" s="77" t="s">
        <v>42</v>
      </c>
      <c r="D884" s="77">
        <v>180</v>
      </c>
      <c r="E884" s="1" t="s">
        <v>7</v>
      </c>
      <c r="F884" s="1" t="s">
        <v>14</v>
      </c>
      <c r="G884" s="1">
        <v>76</v>
      </c>
      <c r="H884" s="1">
        <v>74</v>
      </c>
      <c r="I884" s="1">
        <v>71</v>
      </c>
    </row>
    <row r="885" spans="1:9" x14ac:dyDescent="0.25">
      <c r="A885" s="2" t="s">
        <v>2</v>
      </c>
      <c r="B885" s="1" t="s">
        <v>12</v>
      </c>
      <c r="C885" s="77" t="s">
        <v>42</v>
      </c>
      <c r="D885" s="77">
        <v>181</v>
      </c>
      <c r="E885" s="1" t="s">
        <v>7</v>
      </c>
      <c r="F885" s="1" t="s">
        <v>14</v>
      </c>
      <c r="G885" s="1">
        <v>75</v>
      </c>
      <c r="H885" s="1">
        <v>66</v>
      </c>
      <c r="I885" s="1">
        <v>72</v>
      </c>
    </row>
    <row r="886" spans="1:9" x14ac:dyDescent="0.25">
      <c r="A886" s="2" t="s">
        <v>2</v>
      </c>
      <c r="B886" s="1" t="s">
        <v>12</v>
      </c>
      <c r="C886" s="77" t="s">
        <v>42</v>
      </c>
      <c r="D886" s="77">
        <v>182</v>
      </c>
      <c r="E886" s="1" t="s">
        <v>7</v>
      </c>
      <c r="F886" s="1" t="s">
        <v>14</v>
      </c>
      <c r="G886" s="1">
        <v>74</v>
      </c>
      <c r="H886" s="1">
        <v>63</v>
      </c>
      <c r="I886" s="1">
        <v>65</v>
      </c>
    </row>
    <row r="887" spans="1:9" x14ac:dyDescent="0.25">
      <c r="A887" s="2" t="s">
        <v>2</v>
      </c>
      <c r="B887" s="1" t="s">
        <v>12</v>
      </c>
      <c r="C887" s="77" t="s">
        <v>42</v>
      </c>
      <c r="D887" s="77">
        <v>183</v>
      </c>
      <c r="E887" s="1" t="s">
        <v>7</v>
      </c>
      <c r="F887" s="1" t="s">
        <v>14</v>
      </c>
      <c r="G887" s="1">
        <v>98</v>
      </c>
      <c r="H887" s="1">
        <v>88</v>
      </c>
      <c r="I887" s="1">
        <v>85</v>
      </c>
    </row>
    <row r="888" spans="1:9" x14ac:dyDescent="0.25">
      <c r="A888" s="2" t="s">
        <v>2</v>
      </c>
      <c r="B888" s="1" t="s">
        <v>12</v>
      </c>
      <c r="C888" s="77" t="s">
        <v>42</v>
      </c>
      <c r="D888" s="77">
        <v>184</v>
      </c>
      <c r="E888" s="1" t="s">
        <v>7</v>
      </c>
      <c r="F888" s="1" t="s">
        <v>14</v>
      </c>
      <c r="G888" s="1">
        <v>81</v>
      </c>
      <c r="H888" s="1">
        <v>86</v>
      </c>
      <c r="I888" s="1">
        <v>78</v>
      </c>
    </row>
    <row r="889" spans="1:9" x14ac:dyDescent="0.25">
      <c r="A889" s="2" t="s">
        <v>2</v>
      </c>
      <c r="B889" s="1" t="s">
        <v>12</v>
      </c>
      <c r="C889" s="77" t="s">
        <v>42</v>
      </c>
      <c r="D889" s="77">
        <v>185</v>
      </c>
      <c r="E889" s="1" t="s">
        <v>7</v>
      </c>
      <c r="F889" s="1" t="s">
        <v>14</v>
      </c>
      <c r="G889" s="1">
        <v>92</v>
      </c>
      <c r="H889" s="1">
        <v>77</v>
      </c>
      <c r="I889" s="1">
        <v>84</v>
      </c>
    </row>
    <row r="890" spans="1:9" x14ac:dyDescent="0.25">
      <c r="A890" s="2" t="s">
        <v>2</v>
      </c>
      <c r="B890" s="1" t="s">
        <v>12</v>
      </c>
      <c r="C890" s="77" t="s">
        <v>42</v>
      </c>
      <c r="D890" s="77">
        <v>186</v>
      </c>
      <c r="E890" s="1" t="s">
        <v>7</v>
      </c>
      <c r="F890" s="1" t="s">
        <v>14</v>
      </c>
      <c r="G890" s="1">
        <v>79</v>
      </c>
      <c r="H890" s="1">
        <v>56</v>
      </c>
      <c r="I890" s="1">
        <v>68</v>
      </c>
    </row>
    <row r="891" spans="1:9" x14ac:dyDescent="0.25">
      <c r="A891" s="2" t="s">
        <v>2</v>
      </c>
      <c r="B891" s="1" t="s">
        <v>12</v>
      </c>
      <c r="C891" s="77" t="s">
        <v>42</v>
      </c>
      <c r="D891" s="77">
        <v>187</v>
      </c>
      <c r="E891" s="1" t="s">
        <v>7</v>
      </c>
      <c r="F891" s="1" t="s">
        <v>14</v>
      </c>
      <c r="G891" s="1">
        <v>63</v>
      </c>
      <c r="H891" s="1">
        <v>60</v>
      </c>
      <c r="I891" s="1">
        <v>53</v>
      </c>
    </row>
    <row r="892" spans="1:9" x14ac:dyDescent="0.25">
      <c r="A892" s="2" t="s">
        <v>2</v>
      </c>
      <c r="B892" s="1" t="s">
        <v>12</v>
      </c>
      <c r="C892" s="77" t="s">
        <v>42</v>
      </c>
      <c r="D892" s="77">
        <v>188</v>
      </c>
      <c r="E892" s="1" t="s">
        <v>7</v>
      </c>
      <c r="F892" s="1" t="s">
        <v>14</v>
      </c>
      <c r="G892" s="1">
        <v>59</v>
      </c>
      <c r="H892" s="1">
        <v>62</v>
      </c>
      <c r="I892" s="1">
        <v>52</v>
      </c>
    </row>
    <row r="893" spans="1:9" x14ac:dyDescent="0.25">
      <c r="A893" s="2" t="s">
        <v>2</v>
      </c>
      <c r="B893" s="1" t="s">
        <v>12</v>
      </c>
      <c r="C893" s="77" t="s">
        <v>42</v>
      </c>
      <c r="D893" s="77">
        <v>189</v>
      </c>
      <c r="E893" s="1" t="s">
        <v>7</v>
      </c>
      <c r="F893" s="1" t="s">
        <v>15</v>
      </c>
      <c r="G893" s="1">
        <v>96</v>
      </c>
      <c r="H893" s="1">
        <v>92</v>
      </c>
      <c r="I893" s="1">
        <v>88</v>
      </c>
    </row>
    <row r="894" spans="1:9" x14ac:dyDescent="0.25">
      <c r="A894" s="2" t="s">
        <v>2</v>
      </c>
      <c r="B894" s="1" t="s">
        <v>12</v>
      </c>
      <c r="C894" s="77" t="s">
        <v>42</v>
      </c>
      <c r="D894" s="77">
        <v>190</v>
      </c>
      <c r="E894" s="1" t="s">
        <v>7</v>
      </c>
      <c r="F894" s="1" t="s">
        <v>15</v>
      </c>
      <c r="G894" s="1">
        <v>70</v>
      </c>
      <c r="H894" s="1">
        <v>66</v>
      </c>
      <c r="I894" s="1">
        <v>68</v>
      </c>
    </row>
    <row r="895" spans="1:9" x14ac:dyDescent="0.25">
      <c r="A895" s="2" t="s">
        <v>2</v>
      </c>
      <c r="B895" s="1" t="s">
        <v>12</v>
      </c>
      <c r="C895" s="77" t="s">
        <v>42</v>
      </c>
      <c r="D895" s="77">
        <v>191</v>
      </c>
      <c r="E895" s="1" t="s">
        <v>7</v>
      </c>
      <c r="F895" s="1" t="s">
        <v>15</v>
      </c>
      <c r="G895" s="1">
        <v>82</v>
      </c>
      <c r="H895" s="1">
        <v>79</v>
      </c>
      <c r="I895" s="1">
        <v>81</v>
      </c>
    </row>
    <row r="896" spans="1:9" x14ac:dyDescent="0.25">
      <c r="A896" s="2" t="s">
        <v>2</v>
      </c>
      <c r="B896" s="1" t="s">
        <v>12</v>
      </c>
      <c r="C896" s="77" t="s">
        <v>42</v>
      </c>
      <c r="D896" s="77">
        <v>192</v>
      </c>
      <c r="E896" s="1" t="s">
        <v>7</v>
      </c>
      <c r="F896" s="1" t="s">
        <v>15</v>
      </c>
      <c r="G896" s="1">
        <v>69</v>
      </c>
      <c r="H896" s="1">
        <v>58</v>
      </c>
      <c r="I896" s="1">
        <v>60</v>
      </c>
    </row>
    <row r="897" spans="1:9" x14ac:dyDescent="0.25">
      <c r="A897" s="2" t="s">
        <v>2</v>
      </c>
      <c r="B897" s="1" t="s">
        <v>12</v>
      </c>
      <c r="C897" s="77" t="s">
        <v>42</v>
      </c>
      <c r="D897" s="77">
        <v>193</v>
      </c>
      <c r="E897" s="1" t="s">
        <v>7</v>
      </c>
      <c r="F897" s="1" t="s">
        <v>15</v>
      </c>
      <c r="G897" s="1">
        <v>80</v>
      </c>
      <c r="H897" s="1">
        <v>67</v>
      </c>
      <c r="I897" s="1">
        <v>72</v>
      </c>
    </row>
    <row r="898" spans="1:9" x14ac:dyDescent="0.25">
      <c r="A898" s="2" t="s">
        <v>2</v>
      </c>
      <c r="B898" s="1" t="s">
        <v>12</v>
      </c>
      <c r="C898" s="77" t="s">
        <v>42</v>
      </c>
      <c r="D898" s="77">
        <v>194</v>
      </c>
      <c r="E898" s="1" t="s">
        <v>7</v>
      </c>
      <c r="F898" s="1" t="s">
        <v>15</v>
      </c>
      <c r="G898" s="1">
        <v>94</v>
      </c>
      <c r="H898" s="1">
        <v>97</v>
      </c>
      <c r="I898" s="1">
        <v>95</v>
      </c>
    </row>
    <row r="899" spans="1:9" x14ac:dyDescent="0.25">
      <c r="A899" s="2" t="s">
        <v>2</v>
      </c>
      <c r="B899" s="1" t="s">
        <v>12</v>
      </c>
      <c r="C899" s="77" t="s">
        <v>42</v>
      </c>
      <c r="D899" s="77">
        <v>195</v>
      </c>
      <c r="E899" s="1" t="s">
        <v>73</v>
      </c>
      <c r="F899" s="1" t="s">
        <v>14</v>
      </c>
      <c r="G899" s="1">
        <v>82</v>
      </c>
      <c r="H899" s="1">
        <v>72</v>
      </c>
      <c r="I899" s="1">
        <v>69</v>
      </c>
    </row>
    <row r="900" spans="1:9" x14ac:dyDescent="0.25">
      <c r="A900" s="2" t="s">
        <v>2</v>
      </c>
      <c r="B900" s="1" t="s">
        <v>12</v>
      </c>
      <c r="C900" s="77" t="s">
        <v>42</v>
      </c>
      <c r="D900" s="77">
        <v>196</v>
      </c>
      <c r="E900" s="1" t="s">
        <v>73</v>
      </c>
      <c r="F900" s="1" t="s">
        <v>14</v>
      </c>
      <c r="G900" s="1">
        <v>62</v>
      </c>
      <c r="H900" s="1">
        <v>61</v>
      </c>
      <c r="I900" s="1">
        <v>57</v>
      </c>
    </row>
    <row r="901" spans="1:9" x14ac:dyDescent="0.25">
      <c r="A901" s="2" t="s">
        <v>2</v>
      </c>
      <c r="B901" s="1" t="s">
        <v>12</v>
      </c>
      <c r="C901" s="77" t="s">
        <v>42</v>
      </c>
      <c r="D901" s="77">
        <v>197</v>
      </c>
      <c r="E901" s="1" t="s">
        <v>73</v>
      </c>
      <c r="F901" s="1" t="s">
        <v>14</v>
      </c>
      <c r="G901" s="1">
        <v>61</v>
      </c>
      <c r="H901" s="1">
        <v>53</v>
      </c>
      <c r="I901" s="1">
        <v>48</v>
      </c>
    </row>
    <row r="902" spans="1:9" x14ac:dyDescent="0.25">
      <c r="A902" s="2" t="s">
        <v>2</v>
      </c>
      <c r="B902" s="1" t="s">
        <v>12</v>
      </c>
      <c r="C902" s="77" t="s">
        <v>42</v>
      </c>
      <c r="D902" s="77">
        <v>198</v>
      </c>
      <c r="E902" s="1" t="s">
        <v>73</v>
      </c>
      <c r="F902" s="1" t="s">
        <v>14</v>
      </c>
      <c r="G902" s="1">
        <v>59</v>
      </c>
      <c r="H902" s="1">
        <v>45</v>
      </c>
      <c r="I902" s="1">
        <v>44</v>
      </c>
    </row>
    <row r="903" spans="1:9" x14ac:dyDescent="0.25">
      <c r="A903" s="2" t="s">
        <v>2</v>
      </c>
      <c r="B903" s="1" t="s">
        <v>12</v>
      </c>
      <c r="C903" s="77" t="s">
        <v>42</v>
      </c>
      <c r="D903" s="77">
        <v>199</v>
      </c>
      <c r="E903" s="1" t="s">
        <v>73</v>
      </c>
      <c r="F903" s="1" t="s">
        <v>14</v>
      </c>
      <c r="G903" s="1">
        <v>62</v>
      </c>
      <c r="H903" s="1">
        <v>58</v>
      </c>
      <c r="I903" s="1">
        <v>56</v>
      </c>
    </row>
    <row r="904" spans="1:9" x14ac:dyDescent="0.25">
      <c r="A904" s="2" t="s">
        <v>2</v>
      </c>
      <c r="B904" s="1" t="s">
        <v>12</v>
      </c>
      <c r="C904" s="77" t="s">
        <v>42</v>
      </c>
      <c r="D904" s="77">
        <v>200</v>
      </c>
      <c r="E904" s="1" t="s">
        <v>73</v>
      </c>
      <c r="F904" s="1" t="s">
        <v>14</v>
      </c>
      <c r="G904" s="1">
        <v>67</v>
      </c>
      <c r="H904" s="1">
        <v>58</v>
      </c>
      <c r="I904" s="1">
        <v>58</v>
      </c>
    </row>
    <row r="905" spans="1:9" x14ac:dyDescent="0.25">
      <c r="A905" s="2" t="s">
        <v>2</v>
      </c>
      <c r="B905" s="1" t="s">
        <v>12</v>
      </c>
      <c r="C905" s="77" t="s">
        <v>42</v>
      </c>
      <c r="D905" s="77">
        <v>201</v>
      </c>
      <c r="E905" s="1" t="s">
        <v>73</v>
      </c>
      <c r="F905" s="1" t="s">
        <v>14</v>
      </c>
      <c r="G905" s="1">
        <v>66</v>
      </c>
      <c r="H905" s="1">
        <v>56</v>
      </c>
      <c r="I905" s="1">
        <v>56</v>
      </c>
    </row>
    <row r="906" spans="1:9" x14ac:dyDescent="0.25">
      <c r="A906" s="2" t="s">
        <v>2</v>
      </c>
      <c r="B906" s="1" t="s">
        <v>12</v>
      </c>
      <c r="C906" s="77" t="s">
        <v>42</v>
      </c>
      <c r="D906" s="77">
        <v>202</v>
      </c>
      <c r="E906" s="1" t="s">
        <v>73</v>
      </c>
      <c r="F906" s="1" t="s">
        <v>15</v>
      </c>
      <c r="G906" s="1">
        <v>73</v>
      </c>
      <c r="H906" s="1">
        <v>68</v>
      </c>
      <c r="I906" s="1">
        <v>72</v>
      </c>
    </row>
    <row r="907" spans="1:9" x14ac:dyDescent="0.25">
      <c r="A907" s="2" t="s">
        <v>2</v>
      </c>
      <c r="B907" s="1" t="s">
        <v>12</v>
      </c>
      <c r="C907" s="77" t="s">
        <v>42</v>
      </c>
      <c r="D907" s="77">
        <v>203</v>
      </c>
      <c r="E907" s="1" t="s">
        <v>73</v>
      </c>
      <c r="F907" s="1" t="s">
        <v>15</v>
      </c>
      <c r="G907" s="1">
        <v>77</v>
      </c>
      <c r="H907" s="1">
        <v>77</v>
      </c>
      <c r="I907" s="1">
        <v>77</v>
      </c>
    </row>
    <row r="908" spans="1:9" x14ac:dyDescent="0.25">
      <c r="A908" s="2" t="s">
        <v>2</v>
      </c>
      <c r="B908" s="1" t="s">
        <v>12</v>
      </c>
      <c r="C908" s="77" t="s">
        <v>42</v>
      </c>
      <c r="D908" s="77">
        <v>204</v>
      </c>
      <c r="E908" s="1" t="s">
        <v>73</v>
      </c>
      <c r="F908" s="1" t="s">
        <v>15</v>
      </c>
      <c r="G908" s="1">
        <v>56</v>
      </c>
      <c r="H908" s="1">
        <v>61</v>
      </c>
      <c r="I908" s="1">
        <v>62</v>
      </c>
    </row>
    <row r="909" spans="1:9" x14ac:dyDescent="0.25">
      <c r="A909" s="2" t="s">
        <v>2</v>
      </c>
      <c r="B909" s="1" t="s">
        <v>12</v>
      </c>
      <c r="C909" s="77" t="s">
        <v>42</v>
      </c>
      <c r="D909" s="77">
        <v>205</v>
      </c>
      <c r="E909" s="1" t="s">
        <v>73</v>
      </c>
      <c r="F909" s="1" t="s">
        <v>15</v>
      </c>
      <c r="G909" s="1">
        <v>67</v>
      </c>
      <c r="H909" s="1">
        <v>78</v>
      </c>
      <c r="I909" s="1">
        <v>70</v>
      </c>
    </row>
    <row r="910" spans="1:9" x14ac:dyDescent="0.25">
      <c r="A910" s="2" t="s">
        <v>2</v>
      </c>
      <c r="B910" s="1" t="s">
        <v>12</v>
      </c>
      <c r="C910" s="78" t="s">
        <v>52</v>
      </c>
      <c r="D910" s="78">
        <v>87</v>
      </c>
      <c r="E910" s="1" t="s">
        <v>7</v>
      </c>
      <c r="F910" s="1" t="s">
        <v>14</v>
      </c>
      <c r="G910" s="1">
        <v>39</v>
      </c>
      <c r="H910" s="1">
        <v>45</v>
      </c>
      <c r="I910" s="1">
        <v>36</v>
      </c>
    </row>
    <row r="911" spans="1:9" x14ac:dyDescent="0.25">
      <c r="A911" s="2" t="s">
        <v>2</v>
      </c>
      <c r="B911" s="1" t="s">
        <v>12</v>
      </c>
      <c r="C911" s="78" t="s">
        <v>52</v>
      </c>
      <c r="D911" s="78">
        <v>88</v>
      </c>
      <c r="E911" s="1" t="s">
        <v>7</v>
      </c>
      <c r="F911" s="1" t="s">
        <v>14</v>
      </c>
      <c r="G911" s="1">
        <v>76</v>
      </c>
      <c r="H911" s="1">
        <v>65</v>
      </c>
      <c r="I911" s="1">
        <v>70</v>
      </c>
    </row>
    <row r="912" spans="1:9" x14ac:dyDescent="0.25">
      <c r="A912" s="2" t="s">
        <v>2</v>
      </c>
      <c r="B912" s="1" t="s">
        <v>12</v>
      </c>
      <c r="C912" s="78" t="s">
        <v>52</v>
      </c>
      <c r="D912" s="78">
        <v>89</v>
      </c>
      <c r="E912" s="1" t="s">
        <v>7</v>
      </c>
      <c r="F912" s="1" t="s">
        <v>14</v>
      </c>
      <c r="G912" s="1">
        <v>63</v>
      </c>
      <c r="H912" s="1">
        <v>65</v>
      </c>
      <c r="I912" s="1">
        <v>58</v>
      </c>
    </row>
    <row r="913" spans="1:9" x14ac:dyDescent="0.25">
      <c r="A913" s="2" t="s">
        <v>2</v>
      </c>
      <c r="B913" s="1" t="s">
        <v>12</v>
      </c>
      <c r="C913" s="78" t="s">
        <v>52</v>
      </c>
      <c r="D913" s="78">
        <v>90</v>
      </c>
      <c r="E913" s="1" t="s">
        <v>7</v>
      </c>
      <c r="F913" s="1" t="s">
        <v>14</v>
      </c>
      <c r="G913" s="1">
        <v>74</v>
      </c>
      <c r="H913" s="1">
        <v>76</v>
      </c>
      <c r="I913" s="1">
        <v>73</v>
      </c>
    </row>
    <row r="914" spans="1:9" x14ac:dyDescent="0.25">
      <c r="A914" s="2" t="s">
        <v>2</v>
      </c>
      <c r="B914" s="1" t="s">
        <v>12</v>
      </c>
      <c r="C914" s="78" t="s">
        <v>52</v>
      </c>
      <c r="D914" s="78">
        <v>91</v>
      </c>
      <c r="E914" s="1" t="s">
        <v>7</v>
      </c>
      <c r="F914" s="1" t="s">
        <v>14</v>
      </c>
      <c r="G914" s="1">
        <v>71</v>
      </c>
      <c r="H914" s="1">
        <v>67</v>
      </c>
      <c r="I914" s="1">
        <v>64</v>
      </c>
    </row>
    <row r="915" spans="1:9" x14ac:dyDescent="0.25">
      <c r="A915" s="2" t="s">
        <v>2</v>
      </c>
      <c r="B915" s="1" t="s">
        <v>12</v>
      </c>
      <c r="C915" s="78" t="s">
        <v>52</v>
      </c>
      <c r="D915" s="78">
        <v>92</v>
      </c>
      <c r="E915" s="1" t="s">
        <v>7</v>
      </c>
      <c r="F915" s="1" t="s">
        <v>14</v>
      </c>
      <c r="G915" s="1">
        <v>55</v>
      </c>
      <c r="H915" s="1">
        <v>35</v>
      </c>
      <c r="I915" s="1">
        <v>43</v>
      </c>
    </row>
    <row r="916" spans="1:9" x14ac:dyDescent="0.25">
      <c r="A916" s="2" t="s">
        <v>2</v>
      </c>
      <c r="B916" s="1" t="s">
        <v>12</v>
      </c>
      <c r="C916" s="78" t="s">
        <v>52</v>
      </c>
      <c r="D916" s="78">
        <v>93</v>
      </c>
      <c r="E916" s="1" t="s">
        <v>7</v>
      </c>
      <c r="F916" s="1" t="s">
        <v>14</v>
      </c>
      <c r="G916" s="1">
        <v>64</v>
      </c>
      <c r="H916" s="1">
        <v>63</v>
      </c>
      <c r="I916" s="1">
        <v>64</v>
      </c>
    </row>
    <row r="917" spans="1:9" x14ac:dyDescent="0.25">
      <c r="A917" s="2" t="s">
        <v>2</v>
      </c>
      <c r="B917" s="1" t="s">
        <v>12</v>
      </c>
      <c r="C917" s="78" t="s">
        <v>52</v>
      </c>
      <c r="D917" s="78">
        <v>94</v>
      </c>
      <c r="E917" s="1" t="s">
        <v>7</v>
      </c>
      <c r="F917" s="1" t="s">
        <v>15</v>
      </c>
      <c r="G917" s="1">
        <v>100</v>
      </c>
      <c r="H917" s="1">
        <v>100</v>
      </c>
      <c r="I917" s="1">
        <v>100</v>
      </c>
    </row>
    <row r="918" spans="1:9" x14ac:dyDescent="0.25">
      <c r="A918" s="2" t="s">
        <v>2</v>
      </c>
      <c r="B918" s="1" t="s">
        <v>12</v>
      </c>
      <c r="C918" s="78" t="s">
        <v>52</v>
      </c>
      <c r="D918" s="78">
        <v>95</v>
      </c>
      <c r="E918" s="1" t="s">
        <v>7</v>
      </c>
      <c r="F918" s="1" t="s">
        <v>15</v>
      </c>
      <c r="G918" s="1">
        <v>98</v>
      </c>
      <c r="H918" s="1">
        <v>96</v>
      </c>
      <c r="I918" s="1">
        <v>100</v>
      </c>
    </row>
    <row r="919" spans="1:9" x14ac:dyDescent="0.25">
      <c r="A919" s="2" t="s">
        <v>2</v>
      </c>
      <c r="B919" s="1" t="s">
        <v>12</v>
      </c>
      <c r="C919" s="78" t="s">
        <v>52</v>
      </c>
      <c r="D919" s="78">
        <v>96</v>
      </c>
      <c r="E919" s="1" t="s">
        <v>7</v>
      </c>
      <c r="F919" s="1" t="s">
        <v>15</v>
      </c>
      <c r="G919" s="1">
        <v>97</v>
      </c>
      <c r="H919" s="1">
        <v>91</v>
      </c>
      <c r="I919" s="1">
        <v>96</v>
      </c>
    </row>
    <row r="920" spans="1:9" x14ac:dyDescent="0.25">
      <c r="A920" s="2" t="s">
        <v>2</v>
      </c>
      <c r="B920" s="1" t="s">
        <v>12</v>
      </c>
      <c r="C920" s="78" t="s">
        <v>52</v>
      </c>
      <c r="D920" s="78">
        <v>97</v>
      </c>
      <c r="E920" s="1" t="s">
        <v>73</v>
      </c>
      <c r="F920" s="1" t="s">
        <v>14</v>
      </c>
      <c r="G920" s="1">
        <v>72</v>
      </c>
      <c r="H920" s="1">
        <v>71</v>
      </c>
      <c r="I920" s="1">
        <v>65</v>
      </c>
    </row>
    <row r="921" spans="1:9" x14ac:dyDescent="0.25">
      <c r="A921" s="2" t="s">
        <v>2</v>
      </c>
      <c r="B921" s="1" t="s">
        <v>12</v>
      </c>
      <c r="C921" s="78" t="s">
        <v>52</v>
      </c>
      <c r="D921" s="78">
        <v>98</v>
      </c>
      <c r="E921" s="1" t="s">
        <v>73</v>
      </c>
      <c r="F921" s="1" t="s">
        <v>14</v>
      </c>
      <c r="G921" s="1">
        <v>63</v>
      </c>
      <c r="H921" s="1">
        <v>59</v>
      </c>
      <c r="I921" s="1">
        <v>51</v>
      </c>
    </row>
    <row r="922" spans="1:9" x14ac:dyDescent="0.25">
      <c r="A922" s="2" t="s">
        <v>2</v>
      </c>
      <c r="B922" s="1" t="s">
        <v>12</v>
      </c>
      <c r="C922" s="78" t="s">
        <v>52</v>
      </c>
      <c r="D922" s="78">
        <v>99</v>
      </c>
      <c r="E922" s="1" t="s">
        <v>73</v>
      </c>
      <c r="F922" s="1" t="s">
        <v>14</v>
      </c>
      <c r="G922" s="1">
        <v>85</v>
      </c>
      <c r="H922" s="1">
        <v>78</v>
      </c>
      <c r="I922" s="1">
        <v>81</v>
      </c>
    </row>
    <row r="923" spans="1:9" x14ac:dyDescent="0.25">
      <c r="A923" s="2" t="s">
        <v>2</v>
      </c>
      <c r="B923" s="1" t="s">
        <v>12</v>
      </c>
      <c r="C923" s="79" t="s">
        <v>59</v>
      </c>
      <c r="D923" s="79">
        <v>57</v>
      </c>
      <c r="E923" s="1" t="s">
        <v>7</v>
      </c>
      <c r="F923" s="1" t="s">
        <v>14</v>
      </c>
      <c r="G923" s="1">
        <v>100</v>
      </c>
      <c r="H923" s="1">
        <v>97</v>
      </c>
      <c r="I923" s="1">
        <v>91</v>
      </c>
    </row>
    <row r="924" spans="1:9" x14ac:dyDescent="0.25">
      <c r="A924" s="2" t="s">
        <v>2</v>
      </c>
      <c r="B924" s="1" t="s">
        <v>12</v>
      </c>
      <c r="C924" s="79" t="s">
        <v>59</v>
      </c>
      <c r="D924" s="79">
        <v>58</v>
      </c>
      <c r="E924" s="1" t="s">
        <v>7</v>
      </c>
      <c r="F924" s="1" t="s">
        <v>14</v>
      </c>
      <c r="G924" s="1">
        <v>82</v>
      </c>
      <c r="H924" s="1">
        <v>84</v>
      </c>
      <c r="I924" s="1">
        <v>81</v>
      </c>
    </row>
    <row r="925" spans="1:9" x14ac:dyDescent="0.25">
      <c r="A925" s="2" t="s">
        <v>2</v>
      </c>
      <c r="B925" s="1" t="s">
        <v>12</v>
      </c>
      <c r="C925" s="79" t="s">
        <v>59</v>
      </c>
      <c r="D925" s="79">
        <v>59</v>
      </c>
      <c r="E925" s="1" t="s">
        <v>7</v>
      </c>
      <c r="F925" s="1" t="s">
        <v>14</v>
      </c>
      <c r="G925" s="1">
        <v>71</v>
      </c>
      <c r="H925" s="1">
        <v>61</v>
      </c>
      <c r="I925" s="1">
        <v>63</v>
      </c>
    </row>
    <row r="926" spans="1:9" x14ac:dyDescent="0.25">
      <c r="A926" s="2" t="s">
        <v>2</v>
      </c>
      <c r="B926" s="1" t="s">
        <v>12</v>
      </c>
      <c r="C926" s="79" t="s">
        <v>59</v>
      </c>
      <c r="D926" s="79">
        <v>60</v>
      </c>
      <c r="E926" s="1" t="s">
        <v>7</v>
      </c>
      <c r="F926" s="1" t="s">
        <v>14</v>
      </c>
      <c r="G926" s="1">
        <v>70</v>
      </c>
      <c r="H926" s="1">
        <v>65</v>
      </c>
      <c r="I926" s="1">
        <v>56</v>
      </c>
    </row>
    <row r="927" spans="1:9" x14ac:dyDescent="0.25">
      <c r="A927" s="2" t="s">
        <v>2</v>
      </c>
      <c r="B927" s="1" t="s">
        <v>12</v>
      </c>
      <c r="C927" s="79" t="s">
        <v>59</v>
      </c>
      <c r="D927" s="79">
        <v>61</v>
      </c>
      <c r="E927" s="1" t="s">
        <v>7</v>
      </c>
      <c r="F927" s="1" t="s">
        <v>14</v>
      </c>
      <c r="G927" s="1">
        <v>88</v>
      </c>
      <c r="H927" s="1">
        <v>72</v>
      </c>
      <c r="I927" s="1">
        <v>78</v>
      </c>
    </row>
    <row r="928" spans="1:9" x14ac:dyDescent="0.25">
      <c r="A928" s="2" t="s">
        <v>2</v>
      </c>
      <c r="B928" s="1" t="s">
        <v>12</v>
      </c>
      <c r="C928" s="79" t="s">
        <v>59</v>
      </c>
      <c r="D928" s="79">
        <v>62</v>
      </c>
      <c r="E928" s="1" t="s">
        <v>73</v>
      </c>
      <c r="F928" s="1" t="s">
        <v>14</v>
      </c>
      <c r="G928" s="1">
        <v>83</v>
      </c>
      <c r="H928" s="1">
        <v>86</v>
      </c>
      <c r="I928" s="1">
        <v>87</v>
      </c>
    </row>
    <row r="929" spans="1:9" x14ac:dyDescent="0.25">
      <c r="A929" s="2" t="s">
        <v>2</v>
      </c>
      <c r="B929" s="1" t="s">
        <v>12</v>
      </c>
      <c r="C929" s="79" t="s">
        <v>59</v>
      </c>
      <c r="D929" s="79">
        <v>63</v>
      </c>
      <c r="E929" s="1" t="s">
        <v>73</v>
      </c>
      <c r="F929" s="1" t="s">
        <v>14</v>
      </c>
      <c r="G929" s="1">
        <v>75</v>
      </c>
      <c r="H929" s="1">
        <v>65</v>
      </c>
      <c r="I929" s="1">
        <v>65</v>
      </c>
    </row>
    <row r="930" spans="1:9" x14ac:dyDescent="0.25">
      <c r="A930" s="2" t="s">
        <v>2</v>
      </c>
      <c r="B930" s="1" t="s">
        <v>12</v>
      </c>
      <c r="C930" s="79" t="s">
        <v>59</v>
      </c>
      <c r="D930" s="79">
        <v>64</v>
      </c>
      <c r="E930" s="1" t="s">
        <v>73</v>
      </c>
      <c r="F930" s="1" t="s">
        <v>15</v>
      </c>
      <c r="G930" s="1">
        <v>91</v>
      </c>
      <c r="H930" s="1">
        <v>93</v>
      </c>
      <c r="I930" s="1">
        <v>95</v>
      </c>
    </row>
    <row r="931" spans="1:9" x14ac:dyDescent="0.25">
      <c r="A931" s="2" t="s">
        <v>2</v>
      </c>
      <c r="B931" s="1" t="s">
        <v>12</v>
      </c>
      <c r="C931" s="79" t="s">
        <v>59</v>
      </c>
      <c r="D931" s="79">
        <v>65</v>
      </c>
      <c r="E931" s="1" t="s">
        <v>73</v>
      </c>
      <c r="F931" s="1" t="s">
        <v>15</v>
      </c>
      <c r="G931" s="1">
        <v>67</v>
      </c>
      <c r="H931" s="1">
        <v>71</v>
      </c>
      <c r="I931" s="1">
        <v>70</v>
      </c>
    </row>
    <row r="932" spans="1:9" x14ac:dyDescent="0.25">
      <c r="A932" s="2" t="s">
        <v>2</v>
      </c>
      <c r="B932" s="1" t="s">
        <v>12</v>
      </c>
      <c r="C932" s="79" t="s">
        <v>59</v>
      </c>
      <c r="D932" s="79">
        <v>66</v>
      </c>
      <c r="E932" s="1" t="s">
        <v>73</v>
      </c>
      <c r="F932" s="1" t="s">
        <v>15</v>
      </c>
      <c r="G932" s="1">
        <v>75</v>
      </c>
      <c r="H932" s="1">
        <v>70</v>
      </c>
      <c r="I932" s="1">
        <v>76</v>
      </c>
    </row>
    <row r="933" spans="1:9" x14ac:dyDescent="0.25">
      <c r="A933" s="2" t="s">
        <v>2</v>
      </c>
      <c r="B933" s="1" t="s">
        <v>19</v>
      </c>
      <c r="C933" s="74" t="s">
        <v>53</v>
      </c>
      <c r="D933" s="74">
        <v>166</v>
      </c>
      <c r="E933" s="1" t="s">
        <v>7</v>
      </c>
      <c r="F933" s="1" t="s">
        <v>14</v>
      </c>
      <c r="G933" s="1">
        <v>94</v>
      </c>
      <c r="H933" s="1">
        <v>86</v>
      </c>
      <c r="I933" s="1">
        <v>82</v>
      </c>
    </row>
    <row r="934" spans="1:9" x14ac:dyDescent="0.25">
      <c r="A934" s="2" t="s">
        <v>2</v>
      </c>
      <c r="B934" s="1" t="s">
        <v>19</v>
      </c>
      <c r="C934" s="74" t="s">
        <v>53</v>
      </c>
      <c r="D934" s="74">
        <v>167</v>
      </c>
      <c r="E934" s="1" t="s">
        <v>7</v>
      </c>
      <c r="F934" s="1" t="s">
        <v>14</v>
      </c>
      <c r="G934" s="1">
        <v>77</v>
      </c>
      <c r="H934" s="1">
        <v>62</v>
      </c>
      <c r="I934" s="1">
        <v>57</v>
      </c>
    </row>
    <row r="935" spans="1:9" x14ac:dyDescent="0.25">
      <c r="A935" s="2" t="s">
        <v>2</v>
      </c>
      <c r="B935" s="1" t="s">
        <v>19</v>
      </c>
      <c r="C935" s="74" t="s">
        <v>53</v>
      </c>
      <c r="D935" s="74">
        <v>168</v>
      </c>
      <c r="E935" s="1" t="s">
        <v>7</v>
      </c>
      <c r="F935" s="1" t="s">
        <v>14</v>
      </c>
      <c r="G935" s="1">
        <v>75</v>
      </c>
      <c r="H935" s="1">
        <v>71</v>
      </c>
      <c r="I935" s="1">
        <v>68</v>
      </c>
    </row>
    <row r="936" spans="1:9" x14ac:dyDescent="0.25">
      <c r="A936" s="2" t="s">
        <v>2</v>
      </c>
      <c r="B936" s="1" t="s">
        <v>19</v>
      </c>
      <c r="C936" s="74" t="s">
        <v>53</v>
      </c>
      <c r="D936" s="74">
        <v>169</v>
      </c>
      <c r="E936" s="1" t="s">
        <v>7</v>
      </c>
      <c r="F936" s="1" t="s">
        <v>14</v>
      </c>
      <c r="G936" s="1">
        <v>74</v>
      </c>
      <c r="H936" s="1">
        <v>60</v>
      </c>
      <c r="I936" s="1">
        <v>59</v>
      </c>
    </row>
    <row r="937" spans="1:9" x14ac:dyDescent="0.25">
      <c r="A937" s="2" t="s">
        <v>2</v>
      </c>
      <c r="B937" s="1" t="s">
        <v>19</v>
      </c>
      <c r="C937" s="74" t="s">
        <v>53</v>
      </c>
      <c r="D937" s="74">
        <v>170</v>
      </c>
      <c r="E937" s="1" t="s">
        <v>7</v>
      </c>
      <c r="F937" s="1" t="s">
        <v>14</v>
      </c>
      <c r="G937" s="1">
        <v>66</v>
      </c>
      <c r="H937" s="1">
        <v>63</v>
      </c>
      <c r="I937" s="1">
        <v>60</v>
      </c>
    </row>
    <row r="938" spans="1:9" x14ac:dyDescent="0.25">
      <c r="A938" s="2" t="s">
        <v>2</v>
      </c>
      <c r="B938" s="1" t="s">
        <v>19</v>
      </c>
      <c r="C938" s="74" t="s">
        <v>53</v>
      </c>
      <c r="D938" s="74">
        <v>171</v>
      </c>
      <c r="E938" s="1" t="s">
        <v>7</v>
      </c>
      <c r="F938" s="1" t="s">
        <v>14</v>
      </c>
      <c r="G938" s="1">
        <v>73</v>
      </c>
      <c r="H938" s="1">
        <v>62</v>
      </c>
      <c r="I938" s="1">
        <v>59</v>
      </c>
    </row>
    <row r="939" spans="1:9" x14ac:dyDescent="0.25">
      <c r="A939" s="2" t="s">
        <v>2</v>
      </c>
      <c r="B939" s="1" t="s">
        <v>19</v>
      </c>
      <c r="C939" s="74" t="s">
        <v>53</v>
      </c>
      <c r="D939" s="74">
        <v>172</v>
      </c>
      <c r="E939" s="1" t="s">
        <v>7</v>
      </c>
      <c r="F939" s="1" t="s">
        <v>14</v>
      </c>
      <c r="G939" s="1">
        <v>94</v>
      </c>
      <c r="H939" s="1">
        <v>75</v>
      </c>
      <c r="I939" s="1">
        <v>75</v>
      </c>
    </row>
    <row r="940" spans="1:9" x14ac:dyDescent="0.25">
      <c r="A940" s="2" t="s">
        <v>2</v>
      </c>
      <c r="B940" s="1" t="s">
        <v>19</v>
      </c>
      <c r="C940" s="74" t="s">
        <v>53</v>
      </c>
      <c r="D940" s="74">
        <v>173</v>
      </c>
      <c r="E940" s="1" t="s">
        <v>7</v>
      </c>
      <c r="F940" s="1" t="s">
        <v>14</v>
      </c>
      <c r="G940" s="1">
        <v>92</v>
      </c>
      <c r="H940" s="1">
        <v>80</v>
      </c>
      <c r="I940" s="1">
        <v>78</v>
      </c>
    </row>
    <row r="941" spans="1:9" x14ac:dyDescent="0.25">
      <c r="A941" s="2" t="s">
        <v>2</v>
      </c>
      <c r="B941" s="1" t="s">
        <v>19</v>
      </c>
      <c r="C941" s="74" t="s">
        <v>53</v>
      </c>
      <c r="D941" s="74">
        <v>174</v>
      </c>
      <c r="E941" s="1" t="s">
        <v>7</v>
      </c>
      <c r="F941" s="1" t="s">
        <v>15</v>
      </c>
      <c r="G941" s="1">
        <v>87</v>
      </c>
      <c r="H941" s="1">
        <v>83</v>
      </c>
      <c r="I941" s="1">
        <v>80</v>
      </c>
    </row>
    <row r="942" spans="1:9" x14ac:dyDescent="0.25">
      <c r="A942" s="2" t="s">
        <v>2</v>
      </c>
      <c r="B942" s="1" t="s">
        <v>19</v>
      </c>
      <c r="C942" s="74" t="s">
        <v>53</v>
      </c>
      <c r="D942" s="74">
        <v>175</v>
      </c>
      <c r="E942" s="1" t="s">
        <v>73</v>
      </c>
      <c r="F942" s="1" t="s">
        <v>14</v>
      </c>
      <c r="G942" s="1">
        <v>57</v>
      </c>
      <c r="H942" s="1">
        <v>45</v>
      </c>
      <c r="I942" s="1">
        <v>46</v>
      </c>
    </row>
    <row r="943" spans="1:9" x14ac:dyDescent="0.25">
      <c r="A943" s="2" t="s">
        <v>2</v>
      </c>
      <c r="B943" s="1" t="s">
        <v>19</v>
      </c>
      <c r="C943" s="74" t="s">
        <v>53</v>
      </c>
      <c r="D943" s="74">
        <v>176</v>
      </c>
      <c r="E943" s="1" t="s">
        <v>73</v>
      </c>
      <c r="F943" s="1" t="s">
        <v>14</v>
      </c>
      <c r="G943" s="1">
        <v>66</v>
      </c>
      <c r="H943" s="1">
        <v>60</v>
      </c>
      <c r="I943" s="1">
        <v>59</v>
      </c>
    </row>
    <row r="944" spans="1:9" x14ac:dyDescent="0.25">
      <c r="A944" s="2" t="s">
        <v>2</v>
      </c>
      <c r="B944" s="1" t="s">
        <v>19</v>
      </c>
      <c r="C944" s="74" t="s">
        <v>53</v>
      </c>
      <c r="D944" s="74">
        <v>177</v>
      </c>
      <c r="E944" s="1" t="s">
        <v>73</v>
      </c>
      <c r="F944" s="1" t="s">
        <v>14</v>
      </c>
      <c r="G944" s="1">
        <v>47</v>
      </c>
      <c r="H944" s="1">
        <v>54</v>
      </c>
      <c r="I944" s="1">
        <v>48</v>
      </c>
    </row>
    <row r="945" spans="1:9" x14ac:dyDescent="0.25">
      <c r="A945" s="2" t="s">
        <v>2</v>
      </c>
      <c r="B945" s="1" t="s">
        <v>19</v>
      </c>
      <c r="C945" s="75" t="s">
        <v>6</v>
      </c>
      <c r="D945" s="75">
        <v>202</v>
      </c>
      <c r="E945" s="1" t="s">
        <v>7</v>
      </c>
      <c r="F945" s="1" t="s">
        <v>14</v>
      </c>
      <c r="G945" s="1">
        <v>81</v>
      </c>
      <c r="H945" s="1">
        <v>70</v>
      </c>
      <c r="I945" s="1">
        <v>70</v>
      </c>
    </row>
    <row r="946" spans="1:9" x14ac:dyDescent="0.25">
      <c r="A946" s="2" t="s">
        <v>2</v>
      </c>
      <c r="B946" s="1" t="s">
        <v>19</v>
      </c>
      <c r="C946" s="75" t="s">
        <v>6</v>
      </c>
      <c r="D946" s="75">
        <v>203</v>
      </c>
      <c r="E946" s="1" t="s">
        <v>7</v>
      </c>
      <c r="F946" s="1" t="s">
        <v>14</v>
      </c>
      <c r="G946" s="1">
        <v>100</v>
      </c>
      <c r="H946" s="1">
        <v>91</v>
      </c>
      <c r="I946" s="1">
        <v>85</v>
      </c>
    </row>
    <row r="947" spans="1:9" x14ac:dyDescent="0.25">
      <c r="A947" s="2" t="s">
        <v>2</v>
      </c>
      <c r="B947" s="1" t="s">
        <v>19</v>
      </c>
      <c r="C947" s="75" t="s">
        <v>6</v>
      </c>
      <c r="D947" s="75">
        <v>204</v>
      </c>
      <c r="E947" s="1" t="s">
        <v>7</v>
      </c>
      <c r="F947" s="1" t="s">
        <v>14</v>
      </c>
      <c r="G947" s="1">
        <v>96</v>
      </c>
      <c r="H947" s="1">
        <v>94</v>
      </c>
      <c r="I947" s="1">
        <v>93</v>
      </c>
    </row>
    <row r="948" spans="1:9" x14ac:dyDescent="0.25">
      <c r="A948" s="2" t="s">
        <v>2</v>
      </c>
      <c r="B948" s="1" t="s">
        <v>19</v>
      </c>
      <c r="C948" s="75" t="s">
        <v>6</v>
      </c>
      <c r="D948" s="75">
        <v>205</v>
      </c>
      <c r="E948" s="1" t="s">
        <v>7</v>
      </c>
      <c r="F948" s="1" t="s">
        <v>14</v>
      </c>
      <c r="G948" s="1">
        <v>90</v>
      </c>
      <c r="H948" s="1">
        <v>80</v>
      </c>
      <c r="I948" s="1">
        <v>78</v>
      </c>
    </row>
    <row r="949" spans="1:9" x14ac:dyDescent="0.25">
      <c r="A949" s="2" t="s">
        <v>2</v>
      </c>
      <c r="B949" s="1" t="s">
        <v>19</v>
      </c>
      <c r="C949" s="75" t="s">
        <v>6</v>
      </c>
      <c r="D949" s="75">
        <v>206</v>
      </c>
      <c r="E949" s="1" t="s">
        <v>7</v>
      </c>
      <c r="F949" s="1" t="s">
        <v>14</v>
      </c>
      <c r="G949" s="1">
        <v>93</v>
      </c>
      <c r="H949" s="1">
        <v>86</v>
      </c>
      <c r="I949" s="1">
        <v>76</v>
      </c>
    </row>
    <row r="950" spans="1:9" x14ac:dyDescent="0.25">
      <c r="A950" s="2" t="s">
        <v>2</v>
      </c>
      <c r="B950" s="1" t="s">
        <v>19</v>
      </c>
      <c r="C950" s="75" t="s">
        <v>6</v>
      </c>
      <c r="D950" s="75">
        <v>207</v>
      </c>
      <c r="E950" s="1" t="s">
        <v>7</v>
      </c>
      <c r="F950" s="1" t="s">
        <v>14</v>
      </c>
      <c r="G950" s="1">
        <v>87</v>
      </c>
      <c r="H950" s="1">
        <v>84</v>
      </c>
      <c r="I950" s="1">
        <v>76</v>
      </c>
    </row>
    <row r="951" spans="1:9" x14ac:dyDescent="0.25">
      <c r="A951" s="2" t="s">
        <v>2</v>
      </c>
      <c r="B951" s="1" t="s">
        <v>19</v>
      </c>
      <c r="C951" s="75" t="s">
        <v>6</v>
      </c>
      <c r="D951" s="75">
        <v>208</v>
      </c>
      <c r="E951" s="1" t="s">
        <v>7</v>
      </c>
      <c r="F951" s="1" t="s">
        <v>14</v>
      </c>
      <c r="G951" s="1">
        <v>80</v>
      </c>
      <c r="H951" s="1">
        <v>72</v>
      </c>
      <c r="I951" s="1">
        <v>62</v>
      </c>
    </row>
    <row r="952" spans="1:9" x14ac:dyDescent="0.25">
      <c r="A952" s="2" t="s">
        <v>2</v>
      </c>
      <c r="B952" s="1" t="s">
        <v>19</v>
      </c>
      <c r="C952" s="75" t="s">
        <v>6</v>
      </c>
      <c r="D952" s="75">
        <v>209</v>
      </c>
      <c r="E952" s="1" t="s">
        <v>7</v>
      </c>
      <c r="F952" s="1" t="s">
        <v>15</v>
      </c>
      <c r="G952" s="1">
        <v>83</v>
      </c>
      <c r="H952" s="1">
        <v>80</v>
      </c>
      <c r="I952" s="1">
        <v>82</v>
      </c>
    </row>
    <row r="953" spans="1:9" x14ac:dyDescent="0.25">
      <c r="A953" s="2" t="s">
        <v>2</v>
      </c>
      <c r="B953" s="1" t="s">
        <v>19</v>
      </c>
      <c r="C953" s="75" t="s">
        <v>6</v>
      </c>
      <c r="D953" s="75">
        <v>210</v>
      </c>
      <c r="E953" s="1" t="s">
        <v>7</v>
      </c>
      <c r="F953" s="1" t="s">
        <v>15</v>
      </c>
      <c r="G953" s="1">
        <v>84</v>
      </c>
      <c r="H953" s="1">
        <v>79</v>
      </c>
      <c r="I953" s="1">
        <v>75</v>
      </c>
    </row>
    <row r="954" spans="1:9" x14ac:dyDescent="0.25">
      <c r="A954" s="2" t="s">
        <v>2</v>
      </c>
      <c r="B954" s="1" t="s">
        <v>19</v>
      </c>
      <c r="C954" s="75" t="s">
        <v>6</v>
      </c>
      <c r="D954" s="75">
        <v>211</v>
      </c>
      <c r="E954" s="1" t="s">
        <v>73</v>
      </c>
      <c r="F954" s="1" t="s">
        <v>14</v>
      </c>
      <c r="G954" s="1">
        <v>81</v>
      </c>
      <c r="H954" s="1">
        <v>84</v>
      </c>
      <c r="I954" s="1">
        <v>78</v>
      </c>
    </row>
    <row r="955" spans="1:9" x14ac:dyDescent="0.25">
      <c r="A955" s="2" t="s">
        <v>2</v>
      </c>
      <c r="B955" s="1" t="s">
        <v>19</v>
      </c>
      <c r="C955" s="75" t="s">
        <v>6</v>
      </c>
      <c r="D955" s="75">
        <v>212</v>
      </c>
      <c r="E955" s="1" t="s">
        <v>73</v>
      </c>
      <c r="F955" s="1" t="s">
        <v>14</v>
      </c>
      <c r="G955" s="1">
        <v>59</v>
      </c>
      <c r="H955" s="1">
        <v>55</v>
      </c>
      <c r="I955" s="1">
        <v>46</v>
      </c>
    </row>
    <row r="956" spans="1:9" x14ac:dyDescent="0.25">
      <c r="A956" s="2" t="s">
        <v>2</v>
      </c>
      <c r="B956" s="1" t="s">
        <v>19</v>
      </c>
      <c r="C956" s="75" t="s">
        <v>6</v>
      </c>
      <c r="D956" s="75">
        <v>213</v>
      </c>
      <c r="E956" s="1" t="s">
        <v>73</v>
      </c>
      <c r="F956" s="1" t="s">
        <v>14</v>
      </c>
      <c r="G956" s="1">
        <v>61</v>
      </c>
      <c r="H956" s="1">
        <v>56</v>
      </c>
      <c r="I956" s="1">
        <v>52</v>
      </c>
    </row>
    <row r="957" spans="1:9" x14ac:dyDescent="0.25">
      <c r="A957" s="2" t="s">
        <v>2</v>
      </c>
      <c r="B957" s="1" t="s">
        <v>19</v>
      </c>
      <c r="C957" s="75" t="s">
        <v>6</v>
      </c>
      <c r="D957" s="75">
        <v>214</v>
      </c>
      <c r="E957" s="1" t="s">
        <v>73</v>
      </c>
      <c r="F957" s="1" t="s">
        <v>15</v>
      </c>
      <c r="G957" s="1">
        <v>76</v>
      </c>
      <c r="H957" s="1">
        <v>61</v>
      </c>
      <c r="I957" s="1">
        <v>61</v>
      </c>
    </row>
    <row r="958" spans="1:9" x14ac:dyDescent="0.25">
      <c r="A958" s="2" t="s">
        <v>2</v>
      </c>
      <c r="B958" s="1" t="s">
        <v>19</v>
      </c>
      <c r="C958" s="75" t="s">
        <v>6</v>
      </c>
      <c r="D958" s="75">
        <v>215</v>
      </c>
      <c r="E958" s="1" t="s">
        <v>73</v>
      </c>
      <c r="F958" s="1" t="s">
        <v>15</v>
      </c>
      <c r="G958" s="1">
        <v>74</v>
      </c>
      <c r="H958" s="1">
        <v>67</v>
      </c>
      <c r="I958" s="1">
        <v>61</v>
      </c>
    </row>
    <row r="959" spans="1:9" x14ac:dyDescent="0.25">
      <c r="A959" s="2" t="s">
        <v>2</v>
      </c>
      <c r="B959" s="1" t="s">
        <v>19</v>
      </c>
      <c r="C959" s="76" t="s">
        <v>54</v>
      </c>
      <c r="D959" s="76">
        <v>192</v>
      </c>
      <c r="E959" s="1" t="s">
        <v>7</v>
      </c>
      <c r="F959" s="1" t="s">
        <v>14</v>
      </c>
      <c r="G959" s="1">
        <v>89</v>
      </c>
      <c r="H959" s="1">
        <v>88</v>
      </c>
      <c r="I959" s="1">
        <v>86</v>
      </c>
    </row>
    <row r="960" spans="1:9" x14ac:dyDescent="0.25">
      <c r="A960" s="2" t="s">
        <v>2</v>
      </c>
      <c r="B960" s="1" t="s">
        <v>19</v>
      </c>
      <c r="C960" s="76" t="s">
        <v>54</v>
      </c>
      <c r="D960" s="76">
        <v>193</v>
      </c>
      <c r="E960" s="1" t="s">
        <v>7</v>
      </c>
      <c r="F960" s="1" t="s">
        <v>14</v>
      </c>
      <c r="G960" s="1">
        <v>83</v>
      </c>
      <c r="H960" s="1">
        <v>83</v>
      </c>
      <c r="I960" s="1">
        <v>78</v>
      </c>
    </row>
    <row r="961" spans="1:9" x14ac:dyDescent="0.25">
      <c r="A961" s="2" t="s">
        <v>2</v>
      </c>
      <c r="B961" s="1" t="s">
        <v>19</v>
      </c>
      <c r="C961" s="76" t="s">
        <v>54</v>
      </c>
      <c r="D961" s="76">
        <v>194</v>
      </c>
      <c r="E961" s="1" t="s">
        <v>7</v>
      </c>
      <c r="F961" s="1" t="s">
        <v>14</v>
      </c>
      <c r="G961" s="1">
        <v>75</v>
      </c>
      <c r="H961" s="1">
        <v>68</v>
      </c>
      <c r="I961" s="1">
        <v>68</v>
      </c>
    </row>
    <row r="962" spans="1:9" x14ac:dyDescent="0.25">
      <c r="A962" s="2" t="s">
        <v>2</v>
      </c>
      <c r="B962" s="1" t="s">
        <v>19</v>
      </c>
      <c r="C962" s="76" t="s">
        <v>54</v>
      </c>
      <c r="D962" s="76">
        <v>195</v>
      </c>
      <c r="E962" s="1" t="s">
        <v>7</v>
      </c>
      <c r="F962" s="1" t="s">
        <v>14</v>
      </c>
      <c r="G962" s="1">
        <v>78</v>
      </c>
      <c r="H962" s="1">
        <v>73</v>
      </c>
      <c r="I962" s="1">
        <v>65</v>
      </c>
    </row>
    <row r="963" spans="1:9" x14ac:dyDescent="0.25">
      <c r="A963" s="2" t="s">
        <v>2</v>
      </c>
      <c r="B963" s="1" t="s">
        <v>19</v>
      </c>
      <c r="C963" s="76" t="s">
        <v>54</v>
      </c>
      <c r="D963" s="76">
        <v>196</v>
      </c>
      <c r="E963" s="1" t="s">
        <v>7</v>
      </c>
      <c r="F963" s="1" t="s">
        <v>14</v>
      </c>
      <c r="G963" s="1">
        <v>56</v>
      </c>
      <c r="H963" s="1">
        <v>44</v>
      </c>
      <c r="I963" s="1">
        <v>44</v>
      </c>
    </row>
    <row r="964" spans="1:9" x14ac:dyDescent="0.25">
      <c r="A964" s="2" t="s">
        <v>2</v>
      </c>
      <c r="B964" s="1" t="s">
        <v>19</v>
      </c>
      <c r="C964" s="76" t="s">
        <v>54</v>
      </c>
      <c r="D964" s="76">
        <v>197</v>
      </c>
      <c r="E964" s="1" t="s">
        <v>7</v>
      </c>
      <c r="F964" s="1" t="s">
        <v>14</v>
      </c>
      <c r="G964" s="1">
        <v>71</v>
      </c>
      <c r="H964" s="1">
        <v>63</v>
      </c>
      <c r="I964" s="1">
        <v>53</v>
      </c>
    </row>
    <row r="965" spans="1:9" x14ac:dyDescent="0.25">
      <c r="A965" s="2" t="s">
        <v>2</v>
      </c>
      <c r="B965" s="1" t="s">
        <v>19</v>
      </c>
      <c r="C965" s="76" t="s">
        <v>54</v>
      </c>
      <c r="D965" s="76">
        <v>198</v>
      </c>
      <c r="E965" s="1" t="s">
        <v>7</v>
      </c>
      <c r="F965" s="1" t="s">
        <v>14</v>
      </c>
      <c r="G965" s="1">
        <v>82</v>
      </c>
      <c r="H965" s="1">
        <v>76</v>
      </c>
      <c r="I965" s="1">
        <v>71</v>
      </c>
    </row>
    <row r="966" spans="1:9" x14ac:dyDescent="0.25">
      <c r="A966" s="2" t="s">
        <v>2</v>
      </c>
      <c r="B966" s="1" t="s">
        <v>19</v>
      </c>
      <c r="C966" s="76" t="s">
        <v>54</v>
      </c>
      <c r="D966" s="76">
        <v>199</v>
      </c>
      <c r="E966" s="1" t="s">
        <v>7</v>
      </c>
      <c r="F966" s="1" t="s">
        <v>15</v>
      </c>
      <c r="G966" s="1">
        <v>93</v>
      </c>
      <c r="H966" s="1">
        <v>87</v>
      </c>
      <c r="I966" s="1">
        <v>84</v>
      </c>
    </row>
    <row r="967" spans="1:9" x14ac:dyDescent="0.25">
      <c r="A967" s="2" t="s">
        <v>2</v>
      </c>
      <c r="B967" s="1" t="s">
        <v>19</v>
      </c>
      <c r="C967" s="76" t="s">
        <v>54</v>
      </c>
      <c r="D967" s="76">
        <v>200</v>
      </c>
      <c r="E967" s="1" t="s">
        <v>7</v>
      </c>
      <c r="F967" s="1" t="s">
        <v>15</v>
      </c>
      <c r="G967" s="1">
        <v>82</v>
      </c>
      <c r="H967" s="1">
        <v>78</v>
      </c>
      <c r="I967" s="1">
        <v>78</v>
      </c>
    </row>
    <row r="968" spans="1:9" x14ac:dyDescent="0.25">
      <c r="A968" s="2" t="s">
        <v>2</v>
      </c>
      <c r="B968" s="1" t="s">
        <v>19</v>
      </c>
      <c r="C968" s="76" t="s">
        <v>54</v>
      </c>
      <c r="D968" s="76">
        <v>201</v>
      </c>
      <c r="E968" s="1" t="s">
        <v>7</v>
      </c>
      <c r="F968" s="1" t="s">
        <v>15</v>
      </c>
      <c r="G968" s="1">
        <v>88</v>
      </c>
      <c r="H968" s="1">
        <v>78</v>
      </c>
      <c r="I968" s="1">
        <v>86</v>
      </c>
    </row>
    <row r="969" spans="1:9" x14ac:dyDescent="0.25">
      <c r="A969" s="2" t="s">
        <v>2</v>
      </c>
      <c r="B969" s="1" t="s">
        <v>19</v>
      </c>
      <c r="C969" s="76" t="s">
        <v>54</v>
      </c>
      <c r="D969" s="76">
        <v>202</v>
      </c>
      <c r="E969" s="1" t="s">
        <v>7</v>
      </c>
      <c r="F969" s="1" t="s">
        <v>15</v>
      </c>
      <c r="G969" s="1">
        <v>84</v>
      </c>
      <c r="H969" s="1">
        <v>75</v>
      </c>
      <c r="I969" s="1">
        <v>75</v>
      </c>
    </row>
    <row r="970" spans="1:9" x14ac:dyDescent="0.25">
      <c r="A970" s="2" t="s">
        <v>2</v>
      </c>
      <c r="B970" s="1" t="s">
        <v>19</v>
      </c>
      <c r="C970" s="76" t="s">
        <v>54</v>
      </c>
      <c r="D970" s="76">
        <v>203</v>
      </c>
      <c r="E970" s="1" t="s">
        <v>73</v>
      </c>
      <c r="F970" s="1" t="s">
        <v>14</v>
      </c>
      <c r="G970" s="1">
        <v>57</v>
      </c>
      <c r="H970" s="1">
        <v>45</v>
      </c>
      <c r="I970" s="1">
        <v>42</v>
      </c>
    </row>
    <row r="971" spans="1:9" x14ac:dyDescent="0.25">
      <c r="A971" s="2" t="s">
        <v>2</v>
      </c>
      <c r="B971" s="1" t="s">
        <v>19</v>
      </c>
      <c r="C971" s="76" t="s">
        <v>54</v>
      </c>
      <c r="D971" s="76">
        <v>204</v>
      </c>
      <c r="E971" s="1" t="s">
        <v>73</v>
      </c>
      <c r="F971" s="1" t="s">
        <v>15</v>
      </c>
      <c r="G971" s="1">
        <v>66</v>
      </c>
      <c r="H971" s="1">
        <v>60</v>
      </c>
      <c r="I971" s="1">
        <v>64</v>
      </c>
    </row>
    <row r="972" spans="1:9" x14ac:dyDescent="0.25">
      <c r="A972" s="2" t="s">
        <v>2</v>
      </c>
      <c r="B972" s="1" t="s">
        <v>19</v>
      </c>
      <c r="C972" s="77" t="s">
        <v>42</v>
      </c>
      <c r="D972" s="77">
        <v>206</v>
      </c>
      <c r="E972" s="1" t="s">
        <v>7</v>
      </c>
      <c r="F972" s="1" t="s">
        <v>14</v>
      </c>
      <c r="G972" s="1">
        <v>98</v>
      </c>
      <c r="H972" s="1">
        <v>79</v>
      </c>
      <c r="I972" s="1">
        <v>85</v>
      </c>
    </row>
    <row r="973" spans="1:9" x14ac:dyDescent="0.25">
      <c r="A973" s="2" t="s">
        <v>2</v>
      </c>
      <c r="B973" s="1" t="s">
        <v>19</v>
      </c>
      <c r="C973" s="77" t="s">
        <v>42</v>
      </c>
      <c r="D973" s="77">
        <v>207</v>
      </c>
      <c r="E973" s="1" t="s">
        <v>7</v>
      </c>
      <c r="F973" s="1" t="s">
        <v>14</v>
      </c>
      <c r="G973" s="1">
        <v>88</v>
      </c>
      <c r="H973" s="1">
        <v>81</v>
      </c>
      <c r="I973" s="1">
        <v>77</v>
      </c>
    </row>
    <row r="974" spans="1:9" x14ac:dyDescent="0.25">
      <c r="A974" s="2" t="s">
        <v>2</v>
      </c>
      <c r="B974" s="1" t="s">
        <v>19</v>
      </c>
      <c r="C974" s="77" t="s">
        <v>42</v>
      </c>
      <c r="D974" s="77">
        <v>208</v>
      </c>
      <c r="E974" s="1" t="s">
        <v>7</v>
      </c>
      <c r="F974" s="1" t="s">
        <v>14</v>
      </c>
      <c r="G974" s="1">
        <v>88</v>
      </c>
      <c r="H974" s="1">
        <v>76</v>
      </c>
      <c r="I974" s="1">
        <v>81</v>
      </c>
    </row>
    <row r="975" spans="1:9" x14ac:dyDescent="0.25">
      <c r="A975" s="2" t="s">
        <v>2</v>
      </c>
      <c r="B975" s="1" t="s">
        <v>19</v>
      </c>
      <c r="C975" s="77" t="s">
        <v>42</v>
      </c>
      <c r="D975" s="77">
        <v>209</v>
      </c>
      <c r="E975" s="1" t="s">
        <v>7</v>
      </c>
      <c r="F975" s="1" t="s">
        <v>14</v>
      </c>
      <c r="G975" s="1">
        <v>97</v>
      </c>
      <c r="H975" s="1">
        <v>96</v>
      </c>
      <c r="I975" s="1">
        <v>89</v>
      </c>
    </row>
    <row r="976" spans="1:9" x14ac:dyDescent="0.25">
      <c r="A976" s="2" t="s">
        <v>2</v>
      </c>
      <c r="B976" s="1" t="s">
        <v>19</v>
      </c>
      <c r="C976" s="77" t="s">
        <v>42</v>
      </c>
      <c r="D976" s="77">
        <v>210</v>
      </c>
      <c r="E976" s="1" t="s">
        <v>7</v>
      </c>
      <c r="F976" s="1" t="s">
        <v>14</v>
      </c>
      <c r="G976" s="1">
        <v>75</v>
      </c>
      <c r="H976" s="1">
        <v>66</v>
      </c>
      <c r="I976" s="1">
        <v>59</v>
      </c>
    </row>
    <row r="977" spans="1:9" x14ac:dyDescent="0.25">
      <c r="A977" s="2" t="s">
        <v>2</v>
      </c>
      <c r="B977" s="1" t="s">
        <v>19</v>
      </c>
      <c r="C977" s="77" t="s">
        <v>42</v>
      </c>
      <c r="D977" s="77">
        <v>211</v>
      </c>
      <c r="E977" s="1" t="s">
        <v>7</v>
      </c>
      <c r="F977" s="1" t="s">
        <v>14</v>
      </c>
      <c r="G977" s="1">
        <v>81</v>
      </c>
      <c r="H977" s="1">
        <v>78</v>
      </c>
      <c r="I977" s="1">
        <v>68</v>
      </c>
    </row>
    <row r="978" spans="1:9" x14ac:dyDescent="0.25">
      <c r="A978" s="2" t="s">
        <v>2</v>
      </c>
      <c r="B978" s="1" t="s">
        <v>19</v>
      </c>
      <c r="C978" s="77" t="s">
        <v>42</v>
      </c>
      <c r="D978" s="77">
        <v>212</v>
      </c>
      <c r="E978" s="1" t="s">
        <v>7</v>
      </c>
      <c r="F978" s="1" t="s">
        <v>14</v>
      </c>
      <c r="G978" s="1">
        <v>81</v>
      </c>
      <c r="H978" s="1">
        <v>72</v>
      </c>
      <c r="I978" s="1">
        <v>70</v>
      </c>
    </row>
    <row r="979" spans="1:9" x14ac:dyDescent="0.25">
      <c r="A979" s="2" t="s">
        <v>2</v>
      </c>
      <c r="B979" s="1" t="s">
        <v>19</v>
      </c>
      <c r="C979" s="77" t="s">
        <v>42</v>
      </c>
      <c r="D979" s="77">
        <v>213</v>
      </c>
      <c r="E979" s="1" t="s">
        <v>7</v>
      </c>
      <c r="F979" s="1" t="s">
        <v>15</v>
      </c>
      <c r="G979" s="1">
        <v>61</v>
      </c>
      <c r="H979" s="1">
        <v>49</v>
      </c>
      <c r="I979" s="1">
        <v>52</v>
      </c>
    </row>
    <row r="980" spans="1:9" x14ac:dyDescent="0.25">
      <c r="A980" s="2" t="s">
        <v>2</v>
      </c>
      <c r="B980" s="1" t="s">
        <v>19</v>
      </c>
      <c r="C980" s="77" t="s">
        <v>42</v>
      </c>
      <c r="D980" s="77">
        <v>214</v>
      </c>
      <c r="E980" s="1" t="s">
        <v>7</v>
      </c>
      <c r="F980" s="1" t="s">
        <v>15</v>
      </c>
      <c r="G980" s="1">
        <v>80</v>
      </c>
      <c r="H980" s="1">
        <v>70</v>
      </c>
      <c r="I980" s="1">
        <v>71</v>
      </c>
    </row>
    <row r="981" spans="1:9" x14ac:dyDescent="0.25">
      <c r="A981" s="2" t="s">
        <v>2</v>
      </c>
      <c r="B981" s="1" t="s">
        <v>19</v>
      </c>
      <c r="C981" s="77" t="s">
        <v>42</v>
      </c>
      <c r="D981" s="77">
        <v>215</v>
      </c>
      <c r="E981" s="1" t="s">
        <v>7</v>
      </c>
      <c r="F981" s="1" t="s">
        <v>15</v>
      </c>
      <c r="G981" s="1">
        <v>84</v>
      </c>
      <c r="H981" s="1">
        <v>77</v>
      </c>
      <c r="I981" s="1">
        <v>79</v>
      </c>
    </row>
    <row r="982" spans="1:9" x14ac:dyDescent="0.25">
      <c r="A982" s="2" t="s">
        <v>2</v>
      </c>
      <c r="B982" s="1" t="s">
        <v>19</v>
      </c>
      <c r="C982" s="77" t="s">
        <v>42</v>
      </c>
      <c r="D982" s="77">
        <v>216</v>
      </c>
      <c r="E982" s="1" t="s">
        <v>7</v>
      </c>
      <c r="F982" s="1" t="s">
        <v>15</v>
      </c>
      <c r="G982" s="1">
        <v>97</v>
      </c>
      <c r="H982" s="1">
        <v>88</v>
      </c>
      <c r="I982" s="1">
        <v>81</v>
      </c>
    </row>
    <row r="983" spans="1:9" x14ac:dyDescent="0.25">
      <c r="A983" s="2" t="s">
        <v>2</v>
      </c>
      <c r="B983" s="1" t="s">
        <v>19</v>
      </c>
      <c r="C983" s="77" t="s">
        <v>42</v>
      </c>
      <c r="D983" s="77">
        <v>217</v>
      </c>
      <c r="E983" s="1" t="s">
        <v>7</v>
      </c>
      <c r="F983" s="1" t="s">
        <v>15</v>
      </c>
      <c r="G983" s="1">
        <v>100</v>
      </c>
      <c r="H983" s="1">
        <v>89</v>
      </c>
      <c r="I983" s="1">
        <v>86</v>
      </c>
    </row>
    <row r="984" spans="1:9" x14ac:dyDescent="0.25">
      <c r="A984" s="2" t="s">
        <v>2</v>
      </c>
      <c r="B984" s="1" t="s">
        <v>19</v>
      </c>
      <c r="C984" s="77" t="s">
        <v>42</v>
      </c>
      <c r="D984" s="77">
        <v>218</v>
      </c>
      <c r="E984" s="1" t="s">
        <v>7</v>
      </c>
      <c r="F984" s="1" t="s">
        <v>15</v>
      </c>
      <c r="G984" s="1">
        <v>99</v>
      </c>
      <c r="H984" s="1">
        <v>98</v>
      </c>
      <c r="I984" s="1">
        <v>93</v>
      </c>
    </row>
    <row r="985" spans="1:9" x14ac:dyDescent="0.25">
      <c r="A985" s="2" t="s">
        <v>2</v>
      </c>
      <c r="B985" s="1" t="s">
        <v>19</v>
      </c>
      <c r="C985" s="77" t="s">
        <v>42</v>
      </c>
      <c r="D985" s="77">
        <v>219</v>
      </c>
      <c r="E985" s="1" t="s">
        <v>7</v>
      </c>
      <c r="F985" s="1" t="s">
        <v>15</v>
      </c>
      <c r="G985" s="1">
        <v>87</v>
      </c>
      <c r="H985" s="1">
        <v>87</v>
      </c>
      <c r="I985" s="1">
        <v>79</v>
      </c>
    </row>
    <row r="986" spans="1:9" x14ac:dyDescent="0.25">
      <c r="A986" s="2" t="s">
        <v>2</v>
      </c>
      <c r="B986" s="1" t="s">
        <v>19</v>
      </c>
      <c r="C986" s="77" t="s">
        <v>42</v>
      </c>
      <c r="D986" s="77">
        <v>220</v>
      </c>
      <c r="E986" s="1" t="s">
        <v>7</v>
      </c>
      <c r="F986" s="1" t="s">
        <v>15</v>
      </c>
      <c r="G986" s="1">
        <v>91</v>
      </c>
      <c r="H986" s="1">
        <v>76</v>
      </c>
      <c r="I986" s="1">
        <v>78</v>
      </c>
    </row>
    <row r="987" spans="1:9" x14ac:dyDescent="0.25">
      <c r="A987" s="2" t="s">
        <v>2</v>
      </c>
      <c r="B987" s="1" t="s">
        <v>19</v>
      </c>
      <c r="C987" s="77" t="s">
        <v>42</v>
      </c>
      <c r="D987" s="77">
        <v>221</v>
      </c>
      <c r="E987" s="1" t="s">
        <v>7</v>
      </c>
      <c r="F987" s="1" t="s">
        <v>15</v>
      </c>
      <c r="G987" s="1">
        <v>90</v>
      </c>
      <c r="H987" s="1">
        <v>93</v>
      </c>
      <c r="I987" s="1">
        <v>91</v>
      </c>
    </row>
    <row r="988" spans="1:9" x14ac:dyDescent="0.25">
      <c r="A988" s="2" t="s">
        <v>2</v>
      </c>
      <c r="B988" s="1" t="s">
        <v>19</v>
      </c>
      <c r="C988" s="77" t="s">
        <v>42</v>
      </c>
      <c r="D988" s="77">
        <v>222</v>
      </c>
      <c r="E988" s="1" t="s">
        <v>73</v>
      </c>
      <c r="F988" s="1" t="s">
        <v>14</v>
      </c>
      <c r="G988" s="1">
        <v>73</v>
      </c>
      <c r="H988" s="1">
        <v>73</v>
      </c>
      <c r="I988" s="1">
        <v>63</v>
      </c>
    </row>
    <row r="989" spans="1:9" x14ac:dyDescent="0.25">
      <c r="A989" s="2" t="s">
        <v>2</v>
      </c>
      <c r="B989" s="1" t="s">
        <v>19</v>
      </c>
      <c r="C989" s="77" t="s">
        <v>42</v>
      </c>
      <c r="D989" s="77">
        <v>223</v>
      </c>
      <c r="E989" s="1" t="s">
        <v>73</v>
      </c>
      <c r="F989" s="1" t="s">
        <v>14</v>
      </c>
      <c r="G989" s="1">
        <v>67</v>
      </c>
      <c r="H989" s="1">
        <v>67</v>
      </c>
      <c r="I989" s="1">
        <v>62</v>
      </c>
    </row>
    <row r="990" spans="1:9" x14ac:dyDescent="0.25">
      <c r="A990" s="2" t="s">
        <v>2</v>
      </c>
      <c r="B990" s="1" t="s">
        <v>19</v>
      </c>
      <c r="C990" s="77" t="s">
        <v>42</v>
      </c>
      <c r="D990" s="77">
        <v>224</v>
      </c>
      <c r="E990" s="1" t="s">
        <v>73</v>
      </c>
      <c r="F990" s="1" t="s">
        <v>15</v>
      </c>
      <c r="G990" s="1">
        <v>72</v>
      </c>
      <c r="H990" s="1">
        <v>73</v>
      </c>
      <c r="I990" s="1">
        <v>75</v>
      </c>
    </row>
    <row r="991" spans="1:9" x14ac:dyDescent="0.25">
      <c r="A991" s="2" t="s">
        <v>2</v>
      </c>
      <c r="B991" s="1" t="s">
        <v>19</v>
      </c>
      <c r="C991" s="78" t="s">
        <v>52</v>
      </c>
      <c r="D991" s="78">
        <v>100</v>
      </c>
      <c r="E991" s="1" t="s">
        <v>7</v>
      </c>
      <c r="F991" s="1" t="s">
        <v>14</v>
      </c>
      <c r="G991" s="1">
        <v>85</v>
      </c>
      <c r="H991" s="1">
        <v>77</v>
      </c>
      <c r="I991" s="1">
        <v>78</v>
      </c>
    </row>
    <row r="992" spans="1:9" x14ac:dyDescent="0.25">
      <c r="A992" s="2" t="s">
        <v>2</v>
      </c>
      <c r="B992" s="1" t="s">
        <v>19</v>
      </c>
      <c r="C992" s="78" t="s">
        <v>52</v>
      </c>
      <c r="D992" s="78">
        <v>101</v>
      </c>
      <c r="E992" s="1" t="s">
        <v>7</v>
      </c>
      <c r="F992" s="1" t="s">
        <v>14</v>
      </c>
      <c r="G992" s="1">
        <v>56</v>
      </c>
      <c r="H992" s="1">
        <v>50</v>
      </c>
      <c r="I992" s="1">
        <v>50</v>
      </c>
    </row>
    <row r="993" spans="1:9" x14ac:dyDescent="0.25">
      <c r="A993" s="2" t="s">
        <v>2</v>
      </c>
      <c r="B993" s="1" t="s">
        <v>19</v>
      </c>
      <c r="C993" s="78" t="s">
        <v>52</v>
      </c>
      <c r="D993" s="78">
        <v>102</v>
      </c>
      <c r="E993" s="1" t="s">
        <v>7</v>
      </c>
      <c r="F993" s="1" t="s">
        <v>15</v>
      </c>
      <c r="G993" s="1">
        <v>95</v>
      </c>
      <c r="H993" s="1">
        <v>90</v>
      </c>
      <c r="I993" s="1">
        <v>89</v>
      </c>
    </row>
    <row r="994" spans="1:9" x14ac:dyDescent="0.25">
      <c r="A994" s="2" t="s">
        <v>2</v>
      </c>
      <c r="B994" s="1" t="s">
        <v>19</v>
      </c>
      <c r="C994" s="78" t="s">
        <v>52</v>
      </c>
      <c r="D994" s="78">
        <v>103</v>
      </c>
      <c r="E994" s="1" t="s">
        <v>7</v>
      </c>
      <c r="F994" s="1" t="s">
        <v>15</v>
      </c>
      <c r="G994" s="1">
        <v>100</v>
      </c>
      <c r="H994" s="1">
        <v>100</v>
      </c>
      <c r="I994" s="1">
        <v>100</v>
      </c>
    </row>
    <row r="995" spans="1:9" x14ac:dyDescent="0.25">
      <c r="A995" s="2" t="s">
        <v>2</v>
      </c>
      <c r="B995" s="1" t="s">
        <v>19</v>
      </c>
      <c r="C995" s="78" t="s">
        <v>52</v>
      </c>
      <c r="D995" s="78">
        <v>104</v>
      </c>
      <c r="E995" s="1" t="s">
        <v>73</v>
      </c>
      <c r="F995" s="1" t="s">
        <v>14</v>
      </c>
      <c r="G995" s="1">
        <v>62</v>
      </c>
      <c r="H995" s="1">
        <v>69</v>
      </c>
      <c r="I995" s="1">
        <v>60</v>
      </c>
    </row>
    <row r="996" spans="1:9" x14ac:dyDescent="0.25">
      <c r="A996" s="2" t="s">
        <v>2</v>
      </c>
      <c r="B996" s="1" t="s">
        <v>19</v>
      </c>
      <c r="C996" s="78" t="s">
        <v>52</v>
      </c>
      <c r="D996" s="78">
        <v>105</v>
      </c>
      <c r="E996" s="1" t="s">
        <v>73</v>
      </c>
      <c r="F996" s="1" t="s">
        <v>14</v>
      </c>
      <c r="G996" s="1">
        <v>87</v>
      </c>
      <c r="H996" s="1">
        <v>79</v>
      </c>
      <c r="I996" s="1">
        <v>72</v>
      </c>
    </row>
    <row r="997" spans="1:9" x14ac:dyDescent="0.25">
      <c r="A997" s="2" t="s">
        <v>2</v>
      </c>
      <c r="B997" s="1" t="s">
        <v>19</v>
      </c>
      <c r="C997" s="79" t="s">
        <v>59</v>
      </c>
      <c r="D997" s="79">
        <v>67</v>
      </c>
      <c r="E997" s="1" t="s">
        <v>7</v>
      </c>
      <c r="F997" s="1" t="s">
        <v>14</v>
      </c>
      <c r="G997" s="1">
        <v>89</v>
      </c>
      <c r="H997" s="1">
        <v>85</v>
      </c>
      <c r="I997" s="1">
        <v>78</v>
      </c>
    </row>
    <row r="998" spans="1:9" x14ac:dyDescent="0.25">
      <c r="A998" s="2" t="s">
        <v>2</v>
      </c>
      <c r="B998" s="1" t="s">
        <v>19</v>
      </c>
      <c r="C998" s="79" t="s">
        <v>59</v>
      </c>
      <c r="D998" s="79">
        <v>68</v>
      </c>
      <c r="E998" s="1" t="s">
        <v>7</v>
      </c>
      <c r="F998" s="1" t="s">
        <v>14</v>
      </c>
      <c r="G998" s="1">
        <v>43</v>
      </c>
      <c r="H998" s="1">
        <v>45</v>
      </c>
      <c r="I998" s="1">
        <v>38</v>
      </c>
    </row>
    <row r="999" spans="1:9" x14ac:dyDescent="0.25">
      <c r="A999" s="2" t="s">
        <v>2</v>
      </c>
      <c r="B999" s="1" t="s">
        <v>19</v>
      </c>
      <c r="C999" s="79" t="s">
        <v>59</v>
      </c>
      <c r="D999" s="79">
        <v>69</v>
      </c>
      <c r="E999" s="1" t="s">
        <v>7</v>
      </c>
      <c r="F999" s="1" t="s">
        <v>14</v>
      </c>
      <c r="G999" s="1">
        <v>91</v>
      </c>
      <c r="H999" s="1">
        <v>82</v>
      </c>
      <c r="I999" s="1">
        <v>74</v>
      </c>
    </row>
    <row r="1000" spans="1:9" x14ac:dyDescent="0.25">
      <c r="A1000" s="2" t="s">
        <v>2</v>
      </c>
      <c r="B1000" s="1" t="s">
        <v>19</v>
      </c>
      <c r="C1000" s="79" t="s">
        <v>59</v>
      </c>
      <c r="D1000" s="79">
        <v>70</v>
      </c>
      <c r="E1000" s="1" t="s">
        <v>7</v>
      </c>
      <c r="F1000" s="1" t="s">
        <v>15</v>
      </c>
      <c r="G1000" s="1">
        <v>88</v>
      </c>
      <c r="H1000" s="1">
        <v>89</v>
      </c>
      <c r="I1000" s="1">
        <v>87</v>
      </c>
    </row>
    <row r="1001" spans="1:9" x14ac:dyDescent="0.25">
      <c r="A1001" s="2" t="s">
        <v>2</v>
      </c>
      <c r="B1001" s="1" t="s">
        <v>19</v>
      </c>
      <c r="C1001" s="79" t="s">
        <v>59</v>
      </c>
      <c r="D1001" s="79">
        <v>71</v>
      </c>
      <c r="E1001" s="1" t="s">
        <v>7</v>
      </c>
      <c r="F1001" s="1" t="s">
        <v>15</v>
      </c>
      <c r="G1001" s="1">
        <v>84</v>
      </c>
      <c r="H1001" s="1">
        <v>76</v>
      </c>
      <c r="I1001" s="1">
        <v>81</v>
      </c>
    </row>
    <row r="1002" spans="1:9" x14ac:dyDescent="0.25">
      <c r="A1002" s="2" t="s">
        <v>2</v>
      </c>
      <c r="B1002" s="1" t="s">
        <v>19</v>
      </c>
      <c r="C1002" s="79" t="s">
        <v>59</v>
      </c>
      <c r="D1002" s="79">
        <v>72</v>
      </c>
      <c r="E1002" s="1" t="s">
        <v>73</v>
      </c>
      <c r="F1002" s="1" t="s">
        <v>14</v>
      </c>
      <c r="G1002" s="1">
        <v>56</v>
      </c>
      <c r="H1002" s="1">
        <v>46</v>
      </c>
      <c r="I1002" s="1">
        <v>43</v>
      </c>
    </row>
    <row r="1003" spans="1:9" x14ac:dyDescent="0.25">
      <c r="A1003" s="2" t="s">
        <v>2</v>
      </c>
      <c r="B1003" s="1" t="s">
        <v>19</v>
      </c>
      <c r="C1003" s="79" t="s">
        <v>59</v>
      </c>
      <c r="D1003" s="79">
        <v>73</v>
      </c>
      <c r="E1003" s="1" t="s">
        <v>73</v>
      </c>
      <c r="F1003" s="1" t="s">
        <v>14</v>
      </c>
      <c r="G1003" s="1">
        <v>74</v>
      </c>
      <c r="H1003" s="1">
        <v>67</v>
      </c>
      <c r="I1003" s="1">
        <v>67</v>
      </c>
    </row>
    <row r="1004" spans="1:9" x14ac:dyDescent="0.25">
      <c r="A1004" s="2" t="s">
        <v>2</v>
      </c>
      <c r="B1004" s="1" t="s">
        <v>19</v>
      </c>
      <c r="C1004" s="79" t="s">
        <v>59</v>
      </c>
      <c r="D1004" s="79">
        <v>74</v>
      </c>
      <c r="E1004" s="1" t="s">
        <v>73</v>
      </c>
      <c r="F1004" s="1" t="s">
        <v>14</v>
      </c>
      <c r="G1004" s="1">
        <v>69</v>
      </c>
      <c r="H1004" s="1">
        <v>56</v>
      </c>
      <c r="I1004" s="1">
        <v>56</v>
      </c>
    </row>
    <row r="1005" spans="1:9" x14ac:dyDescent="0.25">
      <c r="A1005" s="2" t="s">
        <v>2</v>
      </c>
      <c r="B1005" s="1" t="s">
        <v>19</v>
      </c>
      <c r="C1005" s="79" t="s">
        <v>59</v>
      </c>
      <c r="D1005" s="79">
        <v>75</v>
      </c>
      <c r="E1005" s="1" t="s">
        <v>73</v>
      </c>
      <c r="F1005" s="1" t="s">
        <v>14</v>
      </c>
      <c r="G1005" s="1">
        <v>68</v>
      </c>
      <c r="H1005" s="1">
        <v>70</v>
      </c>
      <c r="I1005" s="1">
        <v>62</v>
      </c>
    </row>
  </sheetData>
  <sheetProtection sheet="1"/>
  <mergeCells count="7">
    <mergeCell ref="A3:I4"/>
    <mergeCell ref="K10:L11"/>
    <mergeCell ref="K3:L3"/>
    <mergeCell ref="K1:L1"/>
    <mergeCell ref="K4:L5"/>
    <mergeCell ref="K6:L7"/>
    <mergeCell ref="K8:L9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Filtrar">
                <anchor moveWithCells="1" sizeWithCells="1">
                  <from>
                    <xdr:col>0</xdr:col>
                    <xdr:colOff>114300</xdr:colOff>
                    <xdr:row>2</xdr:row>
                    <xdr:rowOff>57150</xdr:rowOff>
                  </from>
                  <to>
                    <xdr:col>1</xdr:col>
                    <xdr:colOff>581025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FiltrarNotaMáxima">
                <anchor moveWithCells="1" sizeWithCells="1">
                  <from>
                    <xdr:col>2</xdr:col>
                    <xdr:colOff>38100</xdr:colOff>
                    <xdr:row>2</xdr:row>
                    <xdr:rowOff>57150</xdr:rowOff>
                  </from>
                  <to>
                    <xdr:col>2</xdr:col>
                    <xdr:colOff>1666875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FiltrarSituacaoCrítica">
                <anchor moveWithCells="1" sizeWithCells="1">
                  <from>
                    <xdr:col>7</xdr:col>
                    <xdr:colOff>962025</xdr:colOff>
                    <xdr:row>2</xdr:row>
                    <xdr:rowOff>66675</xdr:rowOff>
                  </from>
                  <to>
                    <xdr:col>8</xdr:col>
                    <xdr:colOff>1228725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FiltrarAprovados">
                <anchor moveWithCells="1" sizeWithCells="1">
                  <from>
                    <xdr:col>4</xdr:col>
                    <xdr:colOff>161925</xdr:colOff>
                    <xdr:row>2</xdr:row>
                    <xdr:rowOff>76200</xdr:rowOff>
                  </from>
                  <to>
                    <xdr:col>5</xdr:col>
                    <xdr:colOff>714375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FiltrarReprovados">
                <anchor moveWithCells="1" sizeWithCells="1">
                  <from>
                    <xdr:col>5</xdr:col>
                    <xdr:colOff>866775</xdr:colOff>
                    <xdr:row>2</xdr:row>
                    <xdr:rowOff>66675</xdr:rowOff>
                  </from>
                  <to>
                    <xdr:col>6</xdr:col>
                    <xdr:colOff>371475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8" name="Button 6">
              <controlPr defaultSize="0" print="0" autoFill="0" autoPict="0" macro="[0]!FiltrarSituacaoFavorável">
                <anchor moveWithCells="1" sizeWithCells="1">
                  <from>
                    <xdr:col>6</xdr:col>
                    <xdr:colOff>476250</xdr:colOff>
                    <xdr:row>2</xdr:row>
                    <xdr:rowOff>76200</xdr:rowOff>
                  </from>
                  <to>
                    <xdr:col>7</xdr:col>
                    <xdr:colOff>866775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9" name="Button 7">
              <controlPr defaultSize="0" print="0" autoFill="0" autoPict="0" macro="[0]!DashboardGeneroFiltrado">
                <anchor moveWithCells="1" sizeWithCells="1">
                  <from>
                    <xdr:col>10</xdr:col>
                    <xdr:colOff>19050</xdr:colOff>
                    <xdr:row>3</xdr:row>
                    <xdr:rowOff>9525</xdr:rowOff>
                  </from>
                  <to>
                    <xdr:col>11</xdr:col>
                    <xdr:colOff>619125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10" name="Button 8">
              <controlPr defaultSize="0" print="0" autoFill="0" autoPict="0" macro="[0]!DashboardRacaEtniaFiltrado">
                <anchor moveWithCells="1" sizeWithCells="1">
                  <from>
                    <xdr:col>10</xdr:col>
                    <xdr:colOff>9525</xdr:colOff>
                    <xdr:row>5</xdr:row>
                    <xdr:rowOff>9525</xdr:rowOff>
                  </from>
                  <to>
                    <xdr:col>11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Quantidade">
                <anchor moveWithCells="1" sizeWithCells="1">
                  <from>
                    <xdr:col>10</xdr:col>
                    <xdr:colOff>19050</xdr:colOff>
                    <xdr:row>9</xdr:row>
                    <xdr:rowOff>19050</xdr:rowOff>
                  </from>
                  <to>
                    <xdr:col>11</xdr:col>
                    <xdr:colOff>600075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TabelaFiltrada">
                <anchor moveWithCells="1" sizeWithCells="1">
                  <from>
                    <xdr:col>10</xdr:col>
                    <xdr:colOff>9525</xdr:colOff>
                    <xdr:row>7</xdr:row>
                    <xdr:rowOff>19050</xdr:rowOff>
                  </from>
                  <to>
                    <xdr:col>11</xdr:col>
                    <xdr:colOff>600075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A9EEB-71C4-4406-B94C-3E192A5A32F9}">
  <sheetPr codeName="Planilha7"/>
  <dimension ref="B3:L11"/>
  <sheetViews>
    <sheetView workbookViewId="0">
      <selection activeCell="F9" sqref="F9"/>
    </sheetView>
  </sheetViews>
  <sheetFormatPr defaultColWidth="9.140625" defaultRowHeight="15" x14ac:dyDescent="0.25"/>
  <cols>
    <col min="1" max="1" width="9.140625" style="3"/>
    <col min="2" max="2" width="10.5703125" style="3" bestFit="1" customWidth="1"/>
    <col min="3" max="3" width="11.42578125" style="3" bestFit="1" customWidth="1"/>
    <col min="4" max="4" width="9.140625" style="3"/>
    <col min="5" max="5" width="12.5703125" style="3" bestFit="1" customWidth="1"/>
    <col min="6" max="6" width="11.42578125" style="3" bestFit="1" customWidth="1"/>
    <col min="7" max="7" width="9.140625" style="3"/>
    <col min="8" max="8" width="20.140625" style="3" bestFit="1" customWidth="1"/>
    <col min="9" max="9" width="11.42578125" style="3" bestFit="1" customWidth="1"/>
    <col min="10" max="10" width="9.140625" style="3"/>
    <col min="11" max="11" width="20.7109375" style="3" bestFit="1" customWidth="1"/>
    <col min="12" max="12" width="11.42578125" style="3" bestFit="1" customWidth="1"/>
    <col min="13" max="16384" width="9.140625" style="3"/>
  </cols>
  <sheetData>
    <row r="3" spans="2:12" x14ac:dyDescent="0.25">
      <c r="B3" s="3" t="s">
        <v>0</v>
      </c>
      <c r="C3" s="5" t="s">
        <v>60</v>
      </c>
      <c r="E3" s="3" t="s">
        <v>21</v>
      </c>
      <c r="F3" s="5" t="s">
        <v>60</v>
      </c>
      <c r="H3" s="3" t="s">
        <v>63</v>
      </c>
      <c r="I3" s="5" t="s">
        <v>60</v>
      </c>
      <c r="K3" s="3" t="s">
        <v>66</v>
      </c>
      <c r="L3" s="5" t="s">
        <v>60</v>
      </c>
    </row>
    <row r="4" spans="2:12" x14ac:dyDescent="0.25">
      <c r="B4" s="4" t="s">
        <v>1</v>
      </c>
      <c r="C4" s="3">
        <v>492</v>
      </c>
      <c r="E4" s="4" t="s">
        <v>9</v>
      </c>
      <c r="F4" s="3">
        <v>79</v>
      </c>
      <c r="H4" s="4" t="s">
        <v>15</v>
      </c>
      <c r="I4" s="3">
        <v>344</v>
      </c>
      <c r="K4" s="4" t="s">
        <v>54</v>
      </c>
      <c r="L4" s="3">
        <v>204</v>
      </c>
    </row>
    <row r="5" spans="2:12" x14ac:dyDescent="0.25">
      <c r="B5" s="4" t="s">
        <v>2</v>
      </c>
      <c r="C5" s="3">
        <v>508</v>
      </c>
      <c r="E5" s="4" t="s">
        <v>10</v>
      </c>
      <c r="F5" s="3">
        <v>198</v>
      </c>
      <c r="H5" s="4" t="s">
        <v>14</v>
      </c>
      <c r="I5" s="3">
        <v>656</v>
      </c>
      <c r="K5" s="4" t="s">
        <v>53</v>
      </c>
      <c r="L5" s="3">
        <v>177</v>
      </c>
    </row>
    <row r="6" spans="2:12" x14ac:dyDescent="0.25">
      <c r="B6" s="4" t="s">
        <v>8</v>
      </c>
      <c r="C6" s="140">
        <v>1000</v>
      </c>
      <c r="E6" s="4" t="s">
        <v>11</v>
      </c>
      <c r="F6" s="3">
        <v>323</v>
      </c>
      <c r="H6"/>
      <c r="I6"/>
      <c r="K6" s="4" t="s">
        <v>6</v>
      </c>
      <c r="L6" s="3">
        <v>215</v>
      </c>
    </row>
    <row r="7" spans="2:12" x14ac:dyDescent="0.25">
      <c r="B7"/>
      <c r="C7"/>
      <c r="E7" s="4" t="s">
        <v>12</v>
      </c>
      <c r="F7" s="3">
        <v>257</v>
      </c>
      <c r="K7" s="4" t="s">
        <v>42</v>
      </c>
      <c r="L7" s="3">
        <v>224</v>
      </c>
    </row>
    <row r="8" spans="2:12" ht="15.75" thickBot="1" x14ac:dyDescent="0.3">
      <c r="E8" s="4" t="s">
        <v>19</v>
      </c>
      <c r="F8" s="3">
        <v>143</v>
      </c>
      <c r="H8" s="3" t="s">
        <v>5</v>
      </c>
      <c r="I8" s="5" t="s">
        <v>60</v>
      </c>
      <c r="K8" s="4" t="s">
        <v>52</v>
      </c>
      <c r="L8" s="3">
        <v>105</v>
      </c>
    </row>
    <row r="9" spans="2:12" x14ac:dyDescent="0.25">
      <c r="B9" s="91"/>
      <c r="C9" s="22"/>
      <c r="E9"/>
      <c r="F9"/>
      <c r="H9" s="4" t="s">
        <v>7</v>
      </c>
      <c r="I9" s="3">
        <v>660</v>
      </c>
      <c r="K9" s="4" t="s">
        <v>59</v>
      </c>
      <c r="L9" s="3">
        <v>75</v>
      </c>
    </row>
    <row r="10" spans="2:12" x14ac:dyDescent="0.25">
      <c r="B10" s="92"/>
      <c r="C10" s="49"/>
      <c r="H10" s="4" t="s">
        <v>73</v>
      </c>
      <c r="I10" s="3">
        <v>340</v>
      </c>
      <c r="K10"/>
      <c r="L10"/>
    </row>
    <row r="11" spans="2:12" ht="15.75" thickBot="1" x14ac:dyDescent="0.3">
      <c r="B11" s="93"/>
      <c r="C11" s="94"/>
      <c r="H11"/>
      <c r="I11"/>
    </row>
  </sheetData>
  <pageMargins left="0.511811024" right="0.511811024" top="0.78740157499999996" bottom="0.78740157499999996" header="0.31496062000000002" footer="0.31496062000000002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8" name="Button 1">
              <controlPr defaultSize="0" print="0" autoFill="0" autoPict="0" macro="[0]!Back1">
                <anchor moveWithCells="1">
                  <from>
                    <xdr:col>1</xdr:col>
                    <xdr:colOff>19050</xdr:colOff>
                    <xdr:row>8</xdr:row>
                    <xdr:rowOff>19050</xdr:rowOff>
                  </from>
                  <to>
                    <xdr:col>2</xdr:col>
                    <xdr:colOff>657225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1E90B-7BE8-495A-AEB6-B0614DC555F0}">
  <sheetPr codeName="Planilha9"/>
  <dimension ref="A1:P22"/>
  <sheetViews>
    <sheetView workbookViewId="0">
      <selection sqref="A1:A20"/>
    </sheetView>
  </sheetViews>
  <sheetFormatPr defaultColWidth="9.140625" defaultRowHeight="15" x14ac:dyDescent="0.25"/>
  <cols>
    <col min="1" max="2" width="9.140625" style="100" customWidth="1"/>
    <col min="3" max="3" width="11.5703125" style="100" customWidth="1"/>
    <col min="4" max="6" width="9.140625" style="100" customWidth="1"/>
    <col min="7" max="7" width="13" style="100" customWidth="1"/>
    <col min="8" max="9" width="9.140625" style="100" hidden="1" customWidth="1"/>
    <col min="10" max="10" width="13.42578125" style="100" hidden="1" customWidth="1"/>
    <col min="11" max="13" width="9.140625" style="100" hidden="1" customWidth="1"/>
    <col min="14" max="14" width="12" style="100" hidden="1" customWidth="1"/>
    <col min="15" max="15" width="9.140625" style="100"/>
    <col min="16" max="16" width="10.7109375" style="100" customWidth="1"/>
    <col min="17" max="16384" width="9.140625" style="100"/>
  </cols>
  <sheetData>
    <row r="1" spans="1:15" x14ac:dyDescent="0.25">
      <c r="A1" s="302" t="s">
        <v>62</v>
      </c>
      <c r="B1" s="298" t="s">
        <v>61</v>
      </c>
      <c r="C1" s="298"/>
      <c r="D1" s="298"/>
      <c r="E1" s="298"/>
      <c r="F1" s="298"/>
      <c r="G1" s="299"/>
      <c r="H1" s="280" t="s">
        <v>65</v>
      </c>
      <c r="I1" s="283" t="s">
        <v>60</v>
      </c>
      <c r="J1" s="283"/>
      <c r="K1" s="283"/>
      <c r="L1" s="283"/>
      <c r="M1" s="283"/>
      <c r="N1" s="284"/>
      <c r="O1" s="272"/>
    </row>
    <row r="2" spans="1:15" ht="15.75" thickBot="1" x14ac:dyDescent="0.3">
      <c r="A2" s="303"/>
      <c r="B2" s="300"/>
      <c r="C2" s="300"/>
      <c r="D2" s="300"/>
      <c r="E2" s="300"/>
      <c r="F2" s="300"/>
      <c r="G2" s="301"/>
      <c r="H2" s="281"/>
      <c r="I2" s="285"/>
      <c r="J2" s="285"/>
      <c r="K2" s="285"/>
      <c r="L2" s="285"/>
      <c r="M2" s="285"/>
      <c r="N2" s="286"/>
      <c r="O2" s="273"/>
    </row>
    <row r="3" spans="1:15" x14ac:dyDescent="0.25">
      <c r="A3" s="303"/>
      <c r="B3" s="287"/>
      <c r="C3" s="288"/>
      <c r="D3" s="288"/>
      <c r="E3" s="288"/>
      <c r="F3" s="288"/>
      <c r="G3" s="289"/>
      <c r="H3" s="281"/>
      <c r="I3" s="287"/>
      <c r="J3" s="288"/>
      <c r="K3" s="288"/>
      <c r="L3" s="288"/>
      <c r="M3" s="288"/>
      <c r="N3" s="289"/>
    </row>
    <row r="4" spans="1:15" x14ac:dyDescent="0.25">
      <c r="A4" s="303"/>
      <c r="B4" s="290"/>
      <c r="C4" s="291"/>
      <c r="D4" s="291"/>
      <c r="E4" s="291"/>
      <c r="F4" s="291"/>
      <c r="G4" s="292"/>
      <c r="H4" s="281"/>
      <c r="I4" s="290"/>
      <c r="J4" s="291"/>
      <c r="K4" s="291"/>
      <c r="L4" s="291"/>
      <c r="M4" s="291"/>
      <c r="N4" s="292"/>
    </row>
    <row r="5" spans="1:15" x14ac:dyDescent="0.25">
      <c r="A5" s="303"/>
      <c r="B5" s="290"/>
      <c r="C5" s="291"/>
      <c r="D5" s="291"/>
      <c r="E5" s="291"/>
      <c r="F5" s="291"/>
      <c r="G5" s="292"/>
      <c r="H5" s="281"/>
      <c r="I5" s="290"/>
      <c r="J5" s="291"/>
      <c r="K5" s="291"/>
      <c r="L5" s="291"/>
      <c r="M5" s="291"/>
      <c r="N5" s="292"/>
    </row>
    <row r="6" spans="1:15" x14ac:dyDescent="0.25">
      <c r="A6" s="303"/>
      <c r="B6" s="290"/>
      <c r="C6" s="291"/>
      <c r="D6" s="291"/>
      <c r="E6" s="291"/>
      <c r="F6" s="291"/>
      <c r="G6" s="292"/>
      <c r="H6" s="281"/>
      <c r="I6" s="290"/>
      <c r="J6" s="291"/>
      <c r="K6" s="291"/>
      <c r="L6" s="291"/>
      <c r="M6" s="291"/>
      <c r="N6" s="292"/>
    </row>
    <row r="7" spans="1:15" x14ac:dyDescent="0.25">
      <c r="A7" s="303"/>
      <c r="B7" s="290"/>
      <c r="C7" s="291"/>
      <c r="D7" s="291"/>
      <c r="E7" s="291"/>
      <c r="F7" s="291"/>
      <c r="G7" s="292"/>
      <c r="H7" s="281"/>
      <c r="I7" s="290"/>
      <c r="J7" s="291"/>
      <c r="K7" s="291"/>
      <c r="L7" s="291"/>
      <c r="M7" s="291"/>
      <c r="N7" s="292"/>
    </row>
    <row r="8" spans="1:15" x14ac:dyDescent="0.25">
      <c r="A8" s="303"/>
      <c r="B8" s="290"/>
      <c r="C8" s="291"/>
      <c r="D8" s="291"/>
      <c r="E8" s="291"/>
      <c r="F8" s="291"/>
      <c r="G8" s="292"/>
      <c r="H8" s="281"/>
      <c r="I8" s="290"/>
      <c r="J8" s="291"/>
      <c r="K8" s="291"/>
      <c r="L8" s="291"/>
      <c r="M8" s="291"/>
      <c r="N8" s="292"/>
    </row>
    <row r="9" spans="1:15" x14ac:dyDescent="0.25">
      <c r="A9" s="303"/>
      <c r="B9" s="290"/>
      <c r="C9" s="291"/>
      <c r="D9" s="291"/>
      <c r="E9" s="291"/>
      <c r="F9" s="291"/>
      <c r="G9" s="292"/>
      <c r="H9" s="281"/>
      <c r="I9" s="290"/>
      <c r="J9" s="291"/>
      <c r="K9" s="291"/>
      <c r="L9" s="291"/>
      <c r="M9" s="291"/>
      <c r="N9" s="292"/>
    </row>
    <row r="10" spans="1:15" x14ac:dyDescent="0.25">
      <c r="A10" s="303"/>
      <c r="B10" s="290"/>
      <c r="C10" s="291"/>
      <c r="D10" s="291"/>
      <c r="E10" s="291"/>
      <c r="F10" s="291"/>
      <c r="G10" s="292"/>
      <c r="H10" s="281"/>
      <c r="I10" s="290"/>
      <c r="J10" s="291"/>
      <c r="K10" s="291"/>
      <c r="L10" s="291"/>
      <c r="M10" s="291"/>
      <c r="N10" s="292"/>
    </row>
    <row r="11" spans="1:15" x14ac:dyDescent="0.25">
      <c r="A11" s="303"/>
      <c r="B11" s="290"/>
      <c r="C11" s="291"/>
      <c r="D11" s="291"/>
      <c r="E11" s="291"/>
      <c r="F11" s="291"/>
      <c r="G11" s="292"/>
      <c r="H11" s="281"/>
      <c r="I11" s="290"/>
      <c r="J11" s="291"/>
      <c r="K11" s="291"/>
      <c r="L11" s="291"/>
      <c r="M11" s="291"/>
      <c r="N11" s="292"/>
    </row>
    <row r="12" spans="1:15" x14ac:dyDescent="0.25">
      <c r="A12" s="303"/>
      <c r="B12" s="290"/>
      <c r="C12" s="291"/>
      <c r="D12" s="291"/>
      <c r="E12" s="291"/>
      <c r="F12" s="291"/>
      <c r="G12" s="292"/>
      <c r="H12" s="281"/>
      <c r="I12" s="290"/>
      <c r="J12" s="291"/>
      <c r="K12" s="291"/>
      <c r="L12" s="291"/>
      <c r="M12" s="291"/>
      <c r="N12" s="292"/>
    </row>
    <row r="13" spans="1:15" x14ac:dyDescent="0.25">
      <c r="A13" s="303"/>
      <c r="B13" s="290"/>
      <c r="C13" s="291"/>
      <c r="D13" s="291"/>
      <c r="E13" s="291"/>
      <c r="F13" s="291"/>
      <c r="G13" s="292"/>
      <c r="H13" s="281"/>
      <c r="I13" s="290"/>
      <c r="J13" s="291"/>
      <c r="K13" s="291"/>
      <c r="L13" s="291"/>
      <c r="M13" s="291"/>
      <c r="N13" s="292"/>
    </row>
    <row r="14" spans="1:15" x14ac:dyDescent="0.25">
      <c r="A14" s="303"/>
      <c r="B14" s="290"/>
      <c r="C14" s="291"/>
      <c r="D14" s="291"/>
      <c r="E14" s="291"/>
      <c r="F14" s="291"/>
      <c r="G14" s="292"/>
      <c r="H14" s="281"/>
      <c r="I14" s="290"/>
      <c r="J14" s="291"/>
      <c r="K14" s="291"/>
      <c r="L14" s="291"/>
      <c r="M14" s="291"/>
      <c r="N14" s="292"/>
    </row>
    <row r="15" spans="1:15" x14ac:dyDescent="0.25">
      <c r="A15" s="303"/>
      <c r="B15" s="290"/>
      <c r="C15" s="291"/>
      <c r="D15" s="291"/>
      <c r="E15" s="291"/>
      <c r="F15" s="291"/>
      <c r="G15" s="292"/>
      <c r="H15" s="281"/>
      <c r="I15" s="290"/>
      <c r="J15" s="291"/>
      <c r="K15" s="291"/>
      <c r="L15" s="291"/>
      <c r="M15" s="291"/>
      <c r="N15" s="292"/>
    </row>
    <row r="16" spans="1:15" x14ac:dyDescent="0.25">
      <c r="A16" s="303"/>
      <c r="B16" s="290"/>
      <c r="C16" s="291"/>
      <c r="D16" s="291"/>
      <c r="E16" s="291"/>
      <c r="F16" s="291"/>
      <c r="G16" s="292"/>
      <c r="H16" s="281"/>
      <c r="I16" s="290"/>
      <c r="J16" s="291"/>
      <c r="K16" s="291"/>
      <c r="L16" s="291"/>
      <c r="M16" s="291"/>
      <c r="N16" s="292"/>
    </row>
    <row r="17" spans="1:16" ht="15.75" thickBot="1" x14ac:dyDescent="0.3">
      <c r="A17" s="303"/>
      <c r="B17" s="293"/>
      <c r="C17" s="294"/>
      <c r="D17" s="294"/>
      <c r="E17" s="294"/>
      <c r="F17" s="294"/>
      <c r="G17" s="295"/>
      <c r="H17" s="281"/>
      <c r="I17" s="293"/>
      <c r="J17" s="294"/>
      <c r="K17" s="294"/>
      <c r="L17" s="294"/>
      <c r="M17" s="294"/>
      <c r="N17" s="295"/>
    </row>
    <row r="18" spans="1:16" ht="16.5" thickBot="1" x14ac:dyDescent="0.3">
      <c r="A18" s="303"/>
      <c r="B18" s="274" t="s">
        <v>67</v>
      </c>
      <c r="C18" s="275"/>
      <c r="D18" s="274" t="s">
        <v>64</v>
      </c>
      <c r="E18" s="275"/>
      <c r="F18" s="274" t="s">
        <v>68</v>
      </c>
      <c r="G18" s="275"/>
      <c r="H18" s="281"/>
      <c r="I18" s="296" t="s">
        <v>67</v>
      </c>
      <c r="J18" s="297"/>
      <c r="K18" s="296" t="s">
        <v>64</v>
      </c>
      <c r="L18" s="297"/>
      <c r="M18" s="296" t="s">
        <v>68</v>
      </c>
      <c r="N18" s="297"/>
    </row>
    <row r="19" spans="1:16" x14ac:dyDescent="0.25">
      <c r="A19" s="303"/>
      <c r="B19" s="276" t="str">
        <f>IF(INDEX('Tabela Filtrada'!$B$4:$B$5,MATCH(MAX('Tabela Filtrada'!$C$4:$C$5),'Tabela Filtrada'!$C$4:$C$5))="Total Geral"," ",INDEX('Tabela Filtrada'!$B$4:$B$5,MATCH(MAX('Tabela Filtrada'!$C$4:$C$5),'Tabela Filtrada'!$C$4:$C$5)))</f>
        <v>Masculino</v>
      </c>
      <c r="C19" s="277"/>
      <c r="D19" s="276">
        <f>GETPIVOTDATA("Contagem",'Tabela Filtrada'!$B$3)</f>
        <v>1000</v>
      </c>
      <c r="E19" s="277"/>
      <c r="F19" s="276" t="str">
        <f>IF(OR(D19=2,D19=9,D19=1,D19=508,D19=492),"",INDEX('Tabela Filtrada'!$B$4:$B$5,MATCH(MIN('Tabela Filtrada'!C4:C5),'Tabela Filtrada'!C4:C5,0)))</f>
        <v>Feminino</v>
      </c>
      <c r="G19" s="277"/>
      <c r="H19" s="281"/>
      <c r="I19" s="268" t="str">
        <f>IF(OR(K19=1,K19=2,K19=79,K19=198,K19=323,K19=257,K19=143),"",_xlfn.XLOOKUP(MAX('Tabela Filtrada'!$F$4:$F$8), 'Tabela Filtrada'!$F$4:$F$8, 'Tabela Filtrada'!$E$4:$E$8))</f>
        <v>grupo C</v>
      </c>
      <c r="J19" s="269"/>
      <c r="K19" s="268">
        <f>GETPIVOTDATA("Contagem",'Tabela Filtrada'!$B$3)</f>
        <v>1000</v>
      </c>
      <c r="L19" s="269"/>
      <c r="M19" s="268" t="str">
        <f>IF(OR(K19=1,K19=2,K19=79,K19=198,K19=323,K19=257,K19=143),"",_xlfn.XLOOKUP(MIN('Tabela Filtrada'!$F$4:$F$8), 'Tabela Filtrada'!$F$4:$F$8, 'Tabela Filtrada'!$E$4:$E$8))</f>
        <v>grupo A</v>
      </c>
      <c r="N19" s="269"/>
      <c r="O19" s="287"/>
      <c r="P19" s="289"/>
    </row>
    <row r="20" spans="1:16" ht="15.75" thickBot="1" x14ac:dyDescent="0.3">
      <c r="A20" s="304"/>
      <c r="B20" s="278"/>
      <c r="C20" s="279"/>
      <c r="D20" s="278"/>
      <c r="E20" s="279"/>
      <c r="F20" s="278"/>
      <c r="G20" s="279"/>
      <c r="H20" s="282"/>
      <c r="I20" s="270"/>
      <c r="J20" s="271"/>
      <c r="K20" s="270"/>
      <c r="L20" s="271"/>
      <c r="M20" s="270"/>
      <c r="N20" s="271"/>
      <c r="O20" s="293"/>
      <c r="P20" s="295"/>
    </row>
    <row r="22" spans="1:16" x14ac:dyDescent="0.25">
      <c r="C22" s="101"/>
      <c r="K22" s="101"/>
    </row>
  </sheetData>
  <sheetProtection sheet="1"/>
  <mergeCells count="20">
    <mergeCell ref="D18:E18"/>
    <mergeCell ref="D19:E20"/>
    <mergeCell ref="B1:G2"/>
    <mergeCell ref="A1:A20"/>
    <mergeCell ref="M19:N20"/>
    <mergeCell ref="O1:O2"/>
    <mergeCell ref="F18:G18"/>
    <mergeCell ref="F19:G20"/>
    <mergeCell ref="H1:H20"/>
    <mergeCell ref="I1:N2"/>
    <mergeCell ref="I3:N17"/>
    <mergeCell ref="I18:J18"/>
    <mergeCell ref="K18:L18"/>
    <mergeCell ref="M18:N18"/>
    <mergeCell ref="I19:J20"/>
    <mergeCell ref="K19:L20"/>
    <mergeCell ref="B3:G17"/>
    <mergeCell ref="O19:P20"/>
    <mergeCell ref="B18:C18"/>
    <mergeCell ref="B19:C2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[0]!Back1">
                <anchor moveWithCells="1" sizeWithCells="1">
                  <from>
                    <xdr:col>14</xdr:col>
                    <xdr:colOff>19050</xdr:colOff>
                    <xdr:row>0</xdr:row>
                    <xdr:rowOff>0</xdr:rowOff>
                  </from>
                  <to>
                    <xdr:col>14</xdr:col>
                    <xdr:colOff>609600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4" name="Button 6">
              <controlPr defaultSize="0" print="0" autoFill="0" autoPict="0" macro="[0]!MostraForm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15</xdr:col>
                    <xdr:colOff>723900</xdr:colOff>
                    <xdr:row>19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8</vt:i4>
      </vt:variant>
    </vt:vector>
  </HeadingPairs>
  <TitlesOfParts>
    <vt:vector size="16" baseType="lpstr">
      <vt:lpstr>Médias</vt:lpstr>
      <vt:lpstr>Dashboard Médias</vt:lpstr>
      <vt:lpstr>Proporção</vt:lpstr>
      <vt:lpstr>Dashboard Proporção</vt:lpstr>
      <vt:lpstr>Exams</vt:lpstr>
      <vt:lpstr>Filtragem</vt:lpstr>
      <vt:lpstr>Tabela Filtrada</vt:lpstr>
      <vt:lpstr>Dashboard Filtrado</vt:lpstr>
      <vt:lpstr>Filtragem!Area_de_extracao</vt:lpstr>
      <vt:lpstr>Filtragem!Criterios</vt:lpstr>
      <vt:lpstr>Cursinho</vt:lpstr>
      <vt:lpstr>Exam</vt:lpstr>
      <vt:lpstr>Gênero</vt:lpstr>
      <vt:lpstr>PontuaçãoEscrita</vt:lpstr>
      <vt:lpstr>PontuaçãoLeitura</vt:lpstr>
      <vt:lpstr>PontuaçãoMatemática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Goes de Castro</dc:creator>
  <cp:lastModifiedBy>Gabriel Goes de Castro</cp:lastModifiedBy>
  <dcterms:created xsi:type="dcterms:W3CDTF">2023-04-14T13:04:46Z</dcterms:created>
  <dcterms:modified xsi:type="dcterms:W3CDTF">2023-07-02T16:03:59Z</dcterms:modified>
</cp:coreProperties>
</file>